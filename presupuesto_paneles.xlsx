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5"/>
    <sheet name="Insumos" sheetId="2" r:id="rId6"/>
    <sheet name="Cantidades" sheetId="3" r:id="rId7"/>
    <sheet name="Corte" sheetId="4" r:id="rId8"/>
    <sheet name="Presupuesto" sheetId="5" r:id="rId9"/>
    <sheet name="Criterios" sheetId="6" r:id="rId10"/>
  </sheets>
</workbook>
</file>

<file path=xl/comments1.xml><?xml version="1.0" encoding="utf-8"?>
<comments xmlns="http://schemas.openxmlformats.org/spreadsheetml/2006/main">
  <authors>
    <author>presupuesto</author>
  </authors>
  <commentList>
    <comment ref="C6" authorId="0">
      <text>
        <r>
          <rPr>
            <sz val="11"/>
            <color indexed="8"/>
            <rFont val="Helvetica Neue"/>
          </rPr>
          <t>presupuesto:
Completar con el dólar que uses para cotizar (blue, MEP, etc.). Afecta el total en USD.</t>
        </r>
      </text>
    </comment>
    <comment ref="C7" authorId="0">
      <text>
        <r>
          <rPr>
            <sz val="11"/>
            <color indexed="8"/>
            <rFont val="Helvetica Neue"/>
          </rPr>
          <t>presupuesto:
0% si facturás monotributo sin IVA. 21% si responsable inscripto.</t>
        </r>
      </text>
    </comment>
    <comment ref="C11" authorId="0">
      <text>
        <r>
          <rPr>
            <sz val="11"/>
            <color indexed="8"/>
            <rFont val="Helvetica Neue"/>
          </rPr>
          <t>presupuesto:
Modelo 3D: 10 pared + 2 techo. Cambiar acá si el cliente pide más/menos.</t>
        </r>
      </text>
    </comment>
    <comment ref="C14" authorId="0">
      <text>
        <r>
          <rPr>
            <sz val="11"/>
            <color indexed="8"/>
            <rFont val="Helvetica Neue"/>
          </rPr>
          <t>presupuesto:
Profundidad interior = ancho de tira. 5 cm → lana de 50 mm.</t>
        </r>
      </text>
    </comment>
    <comment ref="C15" authorId="0">
      <text>
        <r>
          <rPr>
            <sz val="11"/>
            <color indexed="8"/>
            <rFont val="Helvetica Neue"/>
          </rPr>
          <t>presupuesto:
Además de los dos cabezales. 1 = riostra al medio.</t>
        </r>
      </text>
    </comment>
    <comment ref="C20" authorId="0">
      <text>
        <r>
          <rPr>
            <sz val="11"/>
            <color indexed="8"/>
            <rFont val="Helvetica Neue"/>
          </rPr>
          <t>presupuesto:
2 apiladas × 4 esquinas, como el modelo 3D.</t>
        </r>
      </text>
    </comment>
    <comment ref="C21" authorId="0">
      <text>
        <r>
          <rPr>
            <sz val="11"/>
            <color indexed="8"/>
            <rFont val="Helvetica Neue"/>
          </rPr>
          <t>presupuesto:
Cuánto entra la trampa sobre cada pared.</t>
        </r>
      </text>
    </comment>
    <comment ref="C23" authorId="0">
      <text>
        <r>
          <rPr>
            <sz val="11"/>
            <color indexed="8"/>
            <rFont val="Helvetica Neue"/>
          </rPr>
          <t>presupuesto:
100 mm. Con tiras de 5 cm se arman DOS marcos apilados.</t>
        </r>
      </text>
    </comment>
    <comment ref="C30" authorId="0">
      <text>
        <r>
          <rPr>
            <sz val="11"/>
            <color indexed="8"/>
            <rFont val="Helvetica Neue"/>
          </rPr>
          <t>presupuesto:
Medida estándar 1,22 × 2,44 m (4×8 pies).</t>
        </r>
      </text>
    </comment>
    <comment ref="C32" authorId="0">
      <text>
        <r>
          <rPr>
            <sz val="11"/>
            <color indexed="8"/>
            <rFont val="Helvetica Neue"/>
          </rPr>
          <t>presupuesto:
18 mm. Es el espesor del listón, no la profundidad del marco.</t>
        </r>
      </text>
    </comment>
    <comment ref="C33" authorId="0">
      <text>
        <r>
          <rPr>
            <sz val="11"/>
            <color indexed="8"/>
            <rFont val="Helvetica Neue"/>
          </rPr>
          <t>presupuesto:
Dato tuyo: ~28 mil. Ajustar a la cotización real.</t>
        </r>
      </text>
    </comment>
    <comment ref="C34" authorId="0">
      <text>
        <r>
          <rPr>
            <sz val="11"/>
            <color indexed="8"/>
            <rFont val="Helvetica Neue"/>
          </rPr>
          <t>presupuesto:
5 cm = profundidad del marco = lana de 50 mm.</t>
        </r>
      </text>
    </comment>
    <comment ref="C35" authorId="0">
      <text>
        <r>
          <rPr>
            <sz val="11"/>
            <color indexed="8"/>
            <rFont val="Helvetica Neue"/>
          </rPr>
          <t>presupuesto:
Sierra circular ~3 mm. Afecta cuántas tiras salen por plancha.</t>
        </r>
      </text>
    </comment>
    <comment ref="C36" authorId="0">
      <text>
        <r>
          <rPr>
            <sz val="11"/>
            <color indexed="8"/>
            <rFont val="Helvetica Neue"/>
          </rPr>
          <t>presupuesto:
10% cubre fallas de canto, nudos y recortes de esquina.</t>
        </r>
      </text>
    </comment>
    <comment ref="C42" authorId="0">
      <text>
        <r>
          <rPr>
            <sz val="11"/>
            <color indexed="8"/>
            <rFont val="Helvetica Neue"/>
          </rPr>
          <t>presupuesto:
Formato Acuflex 1200×600, calza el panel.</t>
        </r>
      </text>
    </comment>
    <comment ref="C44" authorId="0">
      <text>
        <r>
          <rPr>
            <sz val="11"/>
            <color indexed="8"/>
            <rFont val="Helvetica Neue"/>
          </rPr>
          <t>presupuesto:
100 kg/m³ es grado acústico (no lana de obra 40–60). Bien para trampas; en pared de 50 mm absorbe más medio-grave.</t>
        </r>
      </text>
    </comment>
    <comment ref="C46" authorId="0">
      <text>
        <r>
          <rPr>
            <sz val="11"/>
            <color indexed="8"/>
            <rFont val="Helvetica Neue"/>
          </rPr>
          <t>presupuesto:
Cotización Acuflex: 22,50 USD/m².</t>
        </r>
      </text>
    </comment>
    <comment ref="C47" authorId="0">
      <text>
        <r>
          <rPr>
            <sz val="11"/>
            <color indexed="8"/>
            <rFont val="Helvetica Neue"/>
          </rPr>
          <t>presupuesto:
10% de la cotización.</t>
        </r>
      </text>
    </comment>
    <comment ref="C51" authorId="0">
      <text>
        <r>
          <rPr>
            <sz val="11"/>
            <color indexed="8"/>
            <rFont val="Helvetica Neue"/>
          </rPr>
          <t>presupuesto:
1 capa de 50 mm.</t>
        </r>
      </text>
    </comment>
    <comment ref="C52" authorId="0">
      <text>
        <r>
          <rPr>
            <sz val="11"/>
            <color indexed="8"/>
            <rFont val="Helvetica Neue"/>
          </rPr>
          <t>presupuesto:
2 × 50 mm = 100 mm a 100 kg/m³. Densidad alta: buen bass trap.</t>
        </r>
      </text>
    </comment>
    <comment ref="C53" authorId="0">
      <text>
        <r>
          <rPr>
            <sz val="11"/>
            <color indexed="8"/>
            <rFont val="Helvetica Neue"/>
          </rPr>
          <t>presupuesto:
Las trampas miden 85 cm de cara: se recorta y se aprovecha el resto.</t>
        </r>
      </text>
    </comment>
    <comment ref="C56" authorId="0">
      <text>
        <r>
          <rPr>
            <sz val="11"/>
            <color indexed="8"/>
            <rFont val="Helvetica Neue"/>
          </rPr>
          <t>presupuesto:
Ancho de tela típico 1,50 m.</t>
        </r>
      </text>
    </comment>
    <comment ref="C57" authorId="0">
      <text>
        <r>
          <rPr>
            <sz val="11"/>
            <color indexed="8"/>
            <rFont val="Helvetica Neue"/>
          </rPr>
          <t>presupuesto:
5 cm por lado para grapar atrás.</t>
        </r>
      </text>
    </comment>
    <comment ref="C58" authorId="0">
      <text>
        <r>
          <rPr>
            <sz val="11"/>
            <color indexed="8"/>
            <rFont val="Helvetica Neue"/>
          </rPr>
          <t>presupuesto:
COMPLETAR. Precio del metro de tela (rollo de 1,50).</t>
        </r>
      </text>
    </comment>
    <comment ref="C59" authorId="0">
      <text>
        <r>
          <rPr>
            <sz val="11"/>
            <color indexed="8"/>
            <rFont val="Helvetica Neue"/>
          </rPr>
          <t>presupuesto:
10% por teselas, sentido del hilo y fallas.</t>
        </r>
      </text>
    </comment>
    <comment ref="C62" authorId="0">
      <text>
        <r>
          <rPr>
            <sz val="11"/>
            <color indexed="8"/>
            <rFont val="Helvetica Neue"/>
          </rPr>
          <t>presupuesto:
Caja de grapas T50 / 80. Si ya tenés, 0.</t>
        </r>
      </text>
    </comment>
    <comment ref="C64" authorId="0">
      <text>
        <r>
          <rPr>
            <sz val="11"/>
            <color indexed="8"/>
            <rFont val="Helvetica Neue"/>
          </rPr>
          <t>presupuesto:
Incluye unir los dos marcos de cada trampa.</t>
        </r>
      </text>
    </comment>
    <comment ref="C65" authorId="0">
      <text>
        <r>
          <rPr>
            <sz val="11"/>
            <color indexed="8"/>
            <rFont val="Helvetica Neue"/>
          </rPr>
          <t>presupuesto:
2 puntos/panel pared, 4 en techo, 2 por trampa. Cadenas/argollas/tarugos.</t>
        </r>
      </text>
    </comment>
    <comment ref="C66" authorId="0">
      <text>
        <r>
          <rPr>
            <sz val="11"/>
            <color indexed="8"/>
            <rFont val="Helvetica Neue"/>
          </rPr>
          <t>presupuesto:
Lana de roca exige barbijo. Flete de planchas si aplica.</t>
        </r>
      </text>
    </comment>
    <comment ref="C67" authorId="0">
      <text>
        <r>
          <rPr>
            <sz val="11"/>
            <color indexed="8"/>
            <rFont val="Helvetica Neue"/>
          </rPr>
          <t>presupuesto:
Recomendado cotizar aparte del 35%. Dejar 0 si la absorbés en la MO.</t>
        </r>
      </text>
    </comment>
    <comment ref="C70" authorId="0">
      <text>
        <r>
          <rPr>
            <sz val="11"/>
            <color indexed="8"/>
            <rFont val="Helvetica Neue"/>
          </rPr>
          <t>presupuesto:
Tu cifra. 35% es bajo para este trabajo (ver hoja Criterios). 50–70% es el rango sano.</t>
        </r>
      </text>
    </comment>
    <comment ref="C71" authorId="0">
      <text>
        <r>
          <rPr>
            <sz val="11"/>
            <color indexed="8"/>
            <rFont val="Helvetica Neue"/>
          </rPr>
          <t>presupuesto:
2 h en dos visitas distintas. Corto: el setup come 30–40 min por visita.</t>
        </r>
      </text>
    </comment>
    <comment ref="C72" authorId="0">
      <text>
        <r>
          <rPr>
            <sz val="11"/>
            <color indexed="8"/>
            <rFont val="Helvetica Neue"/>
          </rPr>
          <t>presupuesto:
Tarifa ok para AR; lo bajo es facturar solo 1 h por salida.</t>
        </r>
      </text>
    </comment>
    <comment ref="C74" authorId="0">
      <text>
        <r>
          <rPr>
            <sz val="11"/>
            <color indexed="8"/>
            <rFont val="Helvetica Neue"/>
          </rPr>
          <t>presupuesto:
Nafta, peaje, estacionamiento. Sumar si el PH no queda a mano.</t>
        </r>
      </text>
    </comment>
    <comment ref="C75" authorId="0">
      <text>
        <r>
          <rPr>
            <sz val="11"/>
            <color indexed="8"/>
            <rFont val="Helvetica Neue"/>
          </rPr>
          <t>presupuesto:
Corte ~2,5 h + 28 marcos × 15 min + 20 tapizados × 25 min + herrajes. Ajustar si medís tu ritmo.</t>
        </r>
      </text>
    </comment>
  </commentList>
</comments>
</file>

<file path=xl/comments2.xml><?xml version="1.0" encoding="utf-8"?>
<comments xmlns="http://schemas.openxmlformats.org/spreadsheetml/2006/main">
  <authors>
    <author>presupuesto</author>
  </authors>
  <commentList>
    <comment ref="B5" authorId="0">
      <text>
        <r>
          <rPr>
            <sz val="11"/>
            <color indexed="8"/>
            <rFont val="Helvetica Neue"/>
          </rPr>
          <t>presupuesto:
Nombre del cliente</t>
        </r>
      </text>
    </comment>
    <comment ref="B10" authorId="0">
      <text>
        <r>
          <rPr>
            <sz val="11"/>
            <color indexed="8"/>
            <rFont val="Helvetica Neue"/>
          </rPr>
          <t>presupuesto:
Setup + barrido + primera lectura. 1 h facturada por jornada (ajustable).</t>
        </r>
      </text>
    </comment>
    <comment ref="B17" authorId="0">
      <text>
        <r>
          <rPr>
            <sz val="11"/>
            <color indexed="8"/>
            <rFont val="Helvetica Neue"/>
          </rPr>
          <t>presupuesto:
Cotización por m². Neto 20,25 USD/m². 37 placas × 0,72 m².</t>
        </r>
      </text>
    </comment>
    <comment ref="B21" authorId="0">
      <text>
        <r>
          <rPr>
            <sz val="11"/>
            <color indexed="8"/>
            <rFont val="Helvetica Neue"/>
          </rPr>
          <t>presupuesto:
Porcentaje editable en Insumos!C70. No incluye instalación en obra salvo que C67 &gt; 0.</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<sst xmlns="http://schemas.openxmlformats.org/spreadsheetml/2006/main" uniqueCount="257">
  <si>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</si>
  <si>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</si>
  <si>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</si>
  <si>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</si>
  <si>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Insumos</t>
  </si>
  <si>
    <t>Tabla 1</t>
  </si>
  <si>
    <t>PRESUPUESTO DE ACUSTIZACIÓN — INSUMOS</t>
  </si>
  <si>
    <t>Celdas amarillas = completar. Celdas azules = calculadas. No editar azules. Geometría tomada del modelo 3D (Opción B: 12 paneles + 8 trampas).</t>
  </si>
  <si>
    <t>Leyenda</t>
  </si>
  <si>
    <t>insumo</t>
  </si>
  <si>
    <t>cálculo</t>
  </si>
  <si>
    <t>Solo tocar amarillo. Al cargar precios, el Presupuesto se actualiza solo.</t>
  </si>
  <si>
    <t>1.  MONEDA E IMPUESTOS</t>
  </si>
  <si>
    <t>ARS por 1 USD (tipo de cambio a usar)</t>
  </si>
  <si>
    <t>referencia — editar</t>
  </si>
  <si>
    <t>IVA aplicable</t>
  </si>
  <si>
    <t>0 = no discrimina IVA</t>
  </si>
  <si>
    <t>Validez de la cotización (días)</t>
  </si>
  <si>
    <t>2.  PANELES BANDA ANCHA (60 × 120 × 50 mm) — paredes y techo</t>
  </si>
  <si>
    <t>Cantidad de paneles</t>
  </si>
  <si>
    <t>Ancho (m)</t>
  </si>
  <si>
    <t>Alto (m)</t>
  </si>
  <si>
    <t>Espesor del marco (m)</t>
  </si>
  <si>
    <t>Travesaños extra (riostras)</t>
  </si>
  <si>
    <t>Área de un panel (m²)</t>
  </si>
  <si>
    <t>Área total paneles (m²)</t>
  </si>
  <si>
    <t>3.  TRAMPAS DE ESQUINA (panel a 45° × 100 mm) — 2 por esquina, 4 esquinas</t>
  </si>
  <si>
    <t>Cantidad de trampas</t>
  </si>
  <si>
    <t>Pierna sobre cada pared (m)</t>
  </si>
  <si>
    <t>Espesor (m)</t>
  </si>
  <si>
    <t>Cara (hipotenusa, m)</t>
  </si>
  <si>
    <t>√2 × pierna — panel plano a 45°</t>
  </si>
  <si>
    <t>Área de una trampa (m²)</t>
  </si>
  <si>
    <t>Área total trampas (m²)</t>
  </si>
  <si>
    <t>Marcos de 5 cm por trampa</t>
  </si>
  <si>
    <t>100 mm / 50 mm = 2 marcos apilados</t>
  </si>
  <si>
    <t>4.  FENÓLICO 18 mm — se corta en tiras de 5 cm (listones del marco)</t>
  </si>
  <si>
    <t>Ancho plancha (m)</t>
  </si>
  <si>
    <t>Largo plancha (m)</t>
  </si>
  <si>
    <t>Espesor placa (m)</t>
  </si>
  <si>
    <t>Precio por plancha (ARS)</t>
  </si>
  <si>
    <t>Ancho de tira (m)</t>
  </si>
  <si>
    <t>Kerf / ancho de corte (m)</t>
  </si>
  <si>
    <t>Desperdicio madera</t>
  </si>
  <si>
    <t>Tiras de 5 cm por plancha</t>
  </si>
  <si>
    <t>INT((ancho + kerf) / (tira + kerf))</t>
  </si>
  <si>
    <t>Metros lineales por plancha</t>
  </si>
  <si>
    <t>Área de una plancha (m²)</t>
  </si>
  <si>
    <t>5.  LANA DE ROCA — Acuflex 100 kg/m³  50 mm  1200×600</t>
  </si>
  <si>
    <t>Ancho placa (m)</t>
  </si>
  <si>
    <t>Alto placa (m)</t>
  </si>
  <si>
    <t>Densidad (kg/m³)</t>
  </si>
  <si>
    <t>Área de una placa (m²)</t>
  </si>
  <si>
    <t>0,72 m² — la cotización viene por m², no por placa</t>
  </si>
  <si>
    <t>Precio lista (USD/m²)</t>
  </si>
  <si>
    <t>Descuento sobre lista</t>
  </si>
  <si>
    <t>Precio neto (USD/m²)</t>
  </si>
  <si>
    <t>22,50 × 0,90 = 20,25 USD/m²</t>
  </si>
  <si>
    <t>Precio por placa (USD)</t>
  </si>
  <si>
    <t>Precio por placa (ARS)</t>
  </si>
  <si>
    <t>Capas por panel banda ancha</t>
  </si>
  <si>
    <t>Capas por trampa</t>
  </si>
  <si>
    <t>Desperdicio lana</t>
  </si>
  <si>
    <t>6.  GABARDINA — completar precio cuando tengas cotización</t>
  </si>
  <si>
    <t>Ancho de rollo (m)</t>
  </si>
  <si>
    <t>Solape al dorso (m)</t>
  </si>
  <si>
    <t>Precio por metro lineal de rollo (ARS)</t>
  </si>
  <si>
    <t>Desperdicio tela</t>
  </si>
  <si>
    <t>7.  CONSUMIBLES E INSTALACIÓN — completar o dejar 0</t>
  </si>
  <si>
    <t>Grapas + engrampadora (si no hay) (ARS)</t>
  </si>
  <si>
    <t>Cola / adhesivo de contacto (ARS)</t>
  </si>
  <si>
    <t>Tornillos, clavos, tarugos (ARS)</t>
  </si>
  <si>
    <t>Herrajes de colgado (ARS)</t>
  </si>
  <si>
    <t>Otros (flete, mascarilla, etc.) (ARS)</t>
  </si>
  <si>
    <t>Instalación en obra — monto fijo (ARS)</t>
  </si>
  <si>
    <t>8.  HONORARIOS</t>
  </si>
  <si>
    <t>Mano de obra sobre materiales</t>
  </si>
  <si>
    <t>35% pedido — ver Criterios</t>
  </si>
  <si>
    <t>Horas de medición (total, 2 jornadas)</t>
  </si>
  <si>
    <t>USD por hora de medición</t>
  </si>
  <si>
    <t>Cantidad de jornadas de medición</t>
  </si>
  <si>
    <t>Viáticos / traslado (ARS)</t>
  </si>
  <si>
    <t>Horas de taller estimadas (armado)</t>
  </si>
  <si>
    <t>Medición (USD)</t>
  </si>
  <si>
    <t>Medición (ARS)</t>
  </si>
  <si>
    <t>Cantidades</t>
  </si>
  <si>
    <t>CANTIDADES DERIVADAS DE LA GEOMETRÍA</t>
  </si>
  <si>
    <t>Todo se recalcula desde Insumos. Esta hoja es el despiece para comprar.</t>
  </si>
  <si>
    <t>A.  MADERA — metros lineales de tira de 5 cm</t>
  </si>
  <si>
    <t>Pieza</t>
  </si>
  <si>
    <t>Cant.</t>
  </si>
  <si>
    <t>Largueros (m)</t>
  </si>
  <si>
    <t>Travesaños (m)</t>
  </si>
  <si>
    <t>ml / unidad</t>
  </si>
  <si>
    <t>ml total</t>
  </si>
  <si>
    <t>Notas</t>
  </si>
  <si>
    <t>Panel banda ancha</t>
  </si>
  <si>
    <t>2 largueros a 1,20 m + cabezales y riostra a (0,60 − 2×18 mm)</t>
  </si>
  <si>
    <t>Trampa de esquina (todos los marcos)</t>
  </si>
  <si>
    <t>2 marcos apilados de 5 cm = 10 cm de profundidad</t>
  </si>
  <si>
    <t>Subtotal marcos</t>
  </si>
  <si>
    <t>ml a comprar (con desperdicio)</t>
  </si>
  <si>
    <t>ml disponibles por plancha</t>
  </si>
  <si>
    <t>Planchas de fenólico necesarias</t>
  </si>
  <si>
    <t>Sobrante estimado (ml)</t>
  </si>
  <si>
    <t>Costo fenólico (ARS)</t>
  </si>
  <si>
    <t>B.  LANA DE ROCA — Acuflex 100 kg/m³ 50 mm, cobrada por m²</t>
  </si>
  <si>
    <t>Uso</t>
  </si>
  <si>
    <t>Piezas</t>
  </si>
  <si>
    <t>Capas</t>
  </si>
  <si>
    <t>m² neto</t>
  </si>
  <si>
    <t>m² c/ desp.</t>
  </si>
  <si>
    <t>Placas</t>
  </si>
  <si>
    <t>Paneles 50 mm</t>
  </si>
  <si>
    <t>1 placa por panel (calza 60×120). Sin desperdicio extra.</t>
  </si>
  <si>
    <t>Trampas 100 mm (2×50 mm)</t>
  </si>
  <si>
    <t>Cara 85 cm: se corta placa 60 cm + faja de 25 cm de otra placa</t>
  </si>
  <si>
    <t>Total lana</t>
  </si>
  <si>
    <t>Costo lana (ARS)</t>
  </si>
  <si>
    <t>C.  GABARDINA — m² de tela y metros de rollo de 1,50 m</t>
  </si>
  <si>
    <t>Ancho corte (m)</t>
  </si>
  <si>
    <t>Largo corte (m)</t>
  </si>
  <si>
    <t>m² / u</t>
  </si>
  <si>
    <t>m² total</t>
  </si>
  <si>
    <t>ml rollo</t>
  </si>
  <si>
    <t>Panel</t>
  </si>
  <si>
    <t>Trampa</t>
  </si>
  <si>
    <t>Subtotal tela</t>
  </si>
  <si>
    <t>m² a comprar (c/ desperdicio)</t>
  </si>
  <si>
    <t>Metros lineales de rollo (conservador)</t>
  </si>
  <si>
    <t>Una pieza detrás de otra. No anida dos paneles en el ancho (0,80+0,80 &gt; 1,50).</t>
  </si>
  <si>
    <t>Equivalente m² del rollo</t>
  </si>
  <si>
    <t>Costo gabardina (ARS)</t>
  </si>
  <si>
    <t>ok</t>
  </si>
  <si>
    <t>D.  RESUMEN DE COMPRA</t>
  </si>
  <si>
    <t>Ítem</t>
  </si>
  <si>
    <t>Unidad</t>
  </si>
  <si>
    <t>Cantidad</t>
  </si>
  <si>
    <t>Precio unit. ARS</t>
  </si>
  <si>
    <t>Subtotal ARS</t>
  </si>
  <si>
    <t>Fenólico 18 mm</t>
  </si>
  <si>
    <t>plancha 1,22×2,44</t>
  </si>
  <si>
    <t>Acuflex 100 kg/m³ 50 mm</t>
  </si>
  <si>
    <t>placa 0,60×1,20</t>
  </si>
  <si>
    <t>Gabardina</t>
  </si>
  <si>
    <t>m lineal rollo 1,50</t>
  </si>
  <si>
    <t>Grapas</t>
  </si>
  <si>
    <t>global</t>
  </si>
  <si>
    <t>Cola / adhesivo</t>
  </si>
  <si>
    <t>Tornillos / clavos / tarugos</t>
  </si>
  <si>
    <t>Herrajes de colgado</t>
  </si>
  <si>
    <t>Otros / flete</t>
  </si>
  <si>
    <t>TOTAL MATERIALES</t>
  </si>
  <si>
    <t>Corte</t>
  </si>
  <si>
    <t>PLAN DE CORTE — FENÓLICO 18 mm EN TIRAS DE 5 cm</t>
  </si>
  <si>
    <t>Cortar las planchas a lo largo (tiras de 2,44 m × 5 cm). Después se tronzan a 1,20 m (largueros) o a 0,564 m (travesaños).</t>
  </si>
  <si>
    <t>Piezas a obtener</t>
  </si>
  <si>
    <t>Largo (m)</t>
  </si>
  <si>
    <t>De tira 2,44 m salen</t>
  </si>
  <si>
    <t>Tiras de 2,44 m</t>
  </si>
  <si>
    <t>Larguero de panel</t>
  </si>
  <si>
    <t>2 × 1,20 m por tira de 2,44 (sobran 4 cm)</t>
  </si>
  <si>
    <t>Travesaño / riostra de panel</t>
  </si>
  <si>
    <t>4 piezas de ~0,56 m por tira</t>
  </si>
  <si>
    <t>Larguero de trampa</t>
  </si>
  <si>
    <t>2 marcos × 2 largueros × 8 trampas</t>
  </si>
  <si>
    <t>Travesaño de trampa</t>
  </si>
  <si>
    <t>Cara 85 cm − 36 mm de encuentro</t>
  </si>
  <si>
    <t>Total tiras de 2,44 m</t>
  </si>
  <si>
    <t>Tiras que salen de 1 plancha</t>
  </si>
  <si>
    <t>Planchas según este anidado</t>
  </si>
  <si>
    <t>Planchas según ml + 10% (hoja Cantidades)</t>
  </si>
  <si>
    <t>Comprar (el mayor de los dos)</t>
  </si>
  <si>
    <t>Secuencia de corte recomendada</t>
  </si>
  <si>
    <t>1. Marcar cada plancha cada 53 mm (50 mm de tira + 3 mm de disco) a lo ancho.
2. Cortar todas las tiras de 2,44 m × 50 mm × 18 mm. Guardar el canto de fábrica como cara vista si queda prolijo.
3. Tronzar primero los largueros de 1,20 m (rinden 2 por tira). Etiquetar P (panel) y T (trampa).
4. Con las tiras restantes, tronzar travesaños de panel (~564 mm) y de trampa (~813 mm).
5. Armar marco a tope: largueros enteros afuera, travesaños entre ellos. Cola + 2 tornillos por encuentro.
6. Trampas: atornillar los dos marcos uno sobre otro (queda caja de 100 mm). Lana en dos capas.
7. Lijar cantos, tapizar con gabardina grapada al dorso, 5 cm de solape.</t>
  </si>
  <si>
    <t>Presupuesto</t>
  </si>
  <si>
    <t>PRESUPUESTO DE ACUSTIZACIÓN</t>
  </si>
  <si>
    <t>Home studio — habitación PH 3,20 × 3,00 m  ·  tratamiento según modelo 3D (12 paneles + 8 trampas de esquina)</t>
  </si>
  <si>
    <t>Fecha</t>
  </si>
  <si>
    <t>Validez (días)</t>
  </si>
  <si>
    <t>TC ARS/USD</t>
  </si>
  <si>
    <t>Cliente</t>
  </si>
  <si>
    <t>PH — a completar</t>
  </si>
  <si>
    <t>IVA</t>
  </si>
  <si>
    <t>DETALLE</t>
  </si>
  <si>
    <t>#</t>
  </si>
  <si>
    <t>Descripción</t>
  </si>
  <si>
    <t>P. unitario ARS</t>
  </si>
  <si>
    <t>FASE 1 — Diagnóstico acústico (define si se avanza con el tratamiento)</t>
  </si>
  <si>
    <t>Medición REW — visita preliminar</t>
  </si>
  <si>
    <t>h</t>
  </si>
  <si>
    <t>Medición REW — visita de verificación (post)</t>
  </si>
  <si>
    <t>Viáticos / traslado</t>
  </si>
  <si>
    <t>Subtotal Fase 1</t>
  </si>
  <si>
    <t>FASE 2 — Construcción de paneles (cantidades según modelo 3D; se confirman con la medición)</t>
  </si>
  <si>
    <t>Fenólico 18 mm — plancha 1,22 × 2,44 m (tiras de 5 cm)</t>
  </si>
  <si>
    <t>plancha</t>
  </si>
  <si>
    <t>Acuflex lana mineral 100 kg/m³ 50 mm — 22,50 USD/m² − 10%</t>
  </si>
  <si>
    <t>Gabardina — rollo 1,50 m de ancho</t>
  </si>
  <si>
    <t>m lineal</t>
  </si>
  <si>
    <t>Consumibles (grapas, cola, tornillos, herrajes, flete)</t>
  </si>
  <si>
    <t>Subtotal materiales</t>
  </si>
  <si>
    <t>Mano de obra de armado (sobre materiales)</t>
  </si>
  <si>
    <t>% mat.</t>
  </si>
  <si>
    <t>Instalación en obra (colgado)</t>
  </si>
  <si>
    <t>Subtotal Fase 2</t>
  </si>
  <si>
    <t>TOTALES</t>
  </si>
  <si>
    <t>Subtotal neto</t>
  </si>
  <si>
    <t>TOTAL</t>
  </si>
  <si>
    <t>Equivalente USD</t>
  </si>
  <si>
    <t>Condiciones. 1) Las cantidades de la Fase 2 se confirman con la medición de la Fase 1: si el cliente no está en rango, no se compran materiales.  2) Precios de lana y gabardina sujetos a cotización del proveedor (celdas en 0 = pendiente).  3) No incluye micrófono de medición ni corrección de obra (humedad, cielorraso, electricidad).  4) La medición no garantiza un resultado acústico: informa el estado y orienta el tratamiento.  5) Validez según Insumos, por variación de tipo de cambio y de materiales.</t>
  </si>
  <si>
    <t>Firma / aceptación</t>
  </si>
  <si>
    <t>Aclaración</t>
  </si>
  <si>
    <t>________________________________</t>
  </si>
  <si>
    <t>Criterios</t>
  </si>
  <si>
    <t>CRITERIOS DE HONORARIOS — NO VA AL CLIENTE</t>
  </si>
  <si>
    <t>Uso interno. Sirve para decidir si vale la pena ir a medir, y si 30 USD/h y 35% de MO cierran.</t>
  </si>
  <si>
    <t>1.  Medición: 30 USD/h × 2 h en 2 jornadas</t>
  </si>
  <si>
    <t>La tarifa de 30 USD/h es razonable (ni cara ni regalada) para un freelance en Argentina que lleva micrófono calibrado, interface y REW, e interpreta la curva. No es tarifa de estudio de ingeniería.
Lo que está bajo es el paquete: 2 horas en total repartidas en dos visitas. Cada salida tiene traslado, setup (trípode, calibración, posición de monitores), 20–30 min de medición real y desarme. Facturar 1 h por jornada no cubre el viaje.
Recomendación para el presupuesto formal: o bien 30 USD/h con mínimo 2 h por jornada (4 h → 120 USD), o un paquete de 60–80 USD por visita (120–160 USD el pre+post). Si querés usar la medición como filtro barato para ver si el cliente está en rango, cobrá bien la primera visita (60–80 USD) y dejá la segunda incluida en el tratamiento si se confirma.</t>
  </si>
  <si>
    <t>Escenario</t>
  </si>
  <si>
    <t>Horas cobradas</t>
  </si>
  <si>
    <t>USD/h</t>
  </si>
  <si>
    <t>Total USD</t>
  </si>
  <si>
    <t>Total ARS</t>
  </si>
  <si>
    <t>Juicio</t>
  </si>
  <si>
    <t>Tu cifra (2 h × 2 jornadas)</t>
  </si>
  <si>
    <t>Bajo como paquete</t>
  </si>
  <si>
    <t>Mínimo sano (2 h por jornada)</t>
  </si>
  <si>
    <t>Piso</t>
  </si>
  <si>
    <t>Paquete por visita (70 USD × 2)</t>
  </si>
  <si>
    <t>Recomendado</t>
  </si>
  <si>
    <t>2.  Mano de obra: 35% sobre materiales</t>
  </si>
  <si>
    <t>35% sobre materiales es poco para paneles tapizados. El trabajo no es 'armar un marco': es cortar fenólico, 28 marcos (las trampas llevan dos), cargar lana con barbijo, tapizar a grapa y herrajar. Estimación de taller: ~20 h. En ebanistería/tapicería la MO suele ir del 50 al 80% de los materiales; los talleres que venden tratamiento acústico armado suelen multiplicar materiales × 1,5 a 2,0.
35% cierra solo si (a) los materiales son caros y (b) no incluye instalación. Mirá la USD/h implícita de la tabla: si da menos de ~12–15 USD/h de taller, estás subsidiando el trabajo. Piso sano: 50% sin instalación. Con colgado en obra: 70%. Alternativa más limpia: cobrar las horas de taller × una tarifa (p. ej. 15–20 USD/h) y olvidarse del porcentaje.</t>
  </si>
  <si>
    <t>% MO</t>
  </si>
  <si>
    <t>MO (ARS)</t>
  </si>
  <si>
    <t>MO (USD)</t>
  </si>
  <si>
    <t>USD/h de taller</t>
  </si>
  <si>
    <t>vs. tus 20 h</t>
  </si>
  <si>
    <t>35% (tu cifra)</t>
  </si>
  <si>
    <t>Poco</t>
  </si>
  <si>
    <t>50% (piso)</t>
  </si>
  <si>
    <t>Mínimo sin instalación</t>
  </si>
  <si>
    <t>70% (con instalación)</t>
  </si>
  <si>
    <t>Sano si incluye colgado</t>
  </si>
  <si>
    <t>Tu % actual (Insumos)</t>
  </si>
  <si>
    <t>justo</t>
  </si>
  <si>
    <t>Materiales actuales (ARS)</t>
  </si>
  <si>
    <t>3.  ¿Vale la pena ir a medir? — filtro de rango</t>
  </si>
  <si>
    <t>La Fase 1 es el filtro. No compres fenólico ni lana hasta que el cliente acepte un rango, no un número exacto.
Cómo pasarle el presupuesto ahora, con lana y gabardina en 0:
  • Cobrá / acordá la medición preliminar (recomendado: 60–80 USD la primera visita).
  • Mostrale el despiece: 3 planchas de fenólico, ~37 placas de lana, ~32 m de gabardina, 20 piezas.
  • Dale un rango de tratamiento, no un total cerrado: 'materiales + 50–70% de armado, se cierra con tus precios'.
  • Si el cliente se asusta con 3 planchas + 37 placas de lana para una pieza de 9,6 m², no está en rango: no hace falta medir. Si pregunta por etapas (solo trampas, o solo primeras reflexiones), sí está en rango.
Orden de trabajo si acepta: medición 1 → ajuste de cantidades → compra → armado → instalación → medición 2.</t>
  </si>
  <si>
    <t>Señal del cliente</t>
  </si>
  <si>
    <t>Interpretación</t>
  </si>
  <si>
    <t>Pide descuento sobre 35% o sobre las 2 h</t>
  </si>
  <si>
    <t>No está en rango de trabajo pago. Medición solo si la cobrás 100% adelante.</t>
  </si>
  <si>
    <t>Acepta Fase 1 y pide rango de Fase 2</t>
  </si>
  <si>
    <t>Sí: ir a medir. Cerrar cantidades después de la curva.</t>
  </si>
  <si>
    <t>Quiere 70% de cobertura (Opción A, ~34 paneles)</t>
  </si>
  <si>
    <t>Subir n_paneles a 34 en Insumos. Recalcula todo. Advertir sala muerta en medios/agudos.</t>
  </si>
</sst>
</file>

<file path=xl/styles.xml><?xml version="1.0" encoding="utf-8"?>
<styleSheet xmlns="http://schemas.openxmlformats.org/spreadsheetml/2006/main">
  <numFmts count="5">
    <numFmt numFmtId="0" formatCode="General"/>
    <numFmt numFmtId="59" formatCode="0.000"/>
    <numFmt numFmtId="60" formatCode="&quot;ARS  &quot;#,##0"/>
    <numFmt numFmtId="61" formatCode="&quot;USD  &quot;#,##0.00"/>
    <numFmt numFmtId="62" formatCode="&quot;DD&quot;/mm/&quot;YYYY&quot;"/>
  </numFmts>
  <fonts count="29">
    <font>
      <sz val="11"/>
      <color indexed="8"/>
      <name val="Calibri"/>
    </font>
    <font>
      <sz val="12"/>
      <color indexed="8"/>
      <name val="Calibri"/>
    </font>
    <font>
      <sz val="14"/>
      <color indexed="8"/>
      <name val="Calibri"/>
    </font>
    <font>
      <u val="single"/>
      <sz val="12"/>
      <color indexed="11"/>
      <name val="Calibri"/>
    </font>
    <font>
      <sz val="15"/>
      <color indexed="8"/>
      <name val="Calibri"/>
    </font>
    <font>
      <b val="1"/>
      <sz val="18"/>
      <color indexed="12"/>
      <name val="Calibri"/>
    </font>
    <font>
      <i val="1"/>
      <sz val="10"/>
      <color indexed="15"/>
      <name val="Calibri"/>
    </font>
    <font>
      <b val="1"/>
      <sz val="10"/>
      <color indexed="8"/>
      <name val="Calibri"/>
    </font>
    <font>
      <b val="1"/>
      <sz val="11"/>
      <color indexed="18"/>
      <name val="Calibri"/>
    </font>
    <font>
      <sz val="11"/>
      <color indexed="18"/>
      <name val="Calibri"/>
    </font>
    <font>
      <sz val="10"/>
      <color indexed="15"/>
      <name val="Calibri"/>
    </font>
    <font>
      <b val="1"/>
      <sz val="12"/>
      <color indexed="12"/>
      <name val="Calibri"/>
    </font>
    <font>
      <sz val="11"/>
      <color indexed="8"/>
      <name val="Helvetica Neue"/>
    </font>
    <font>
      <i val="1"/>
      <sz val="9"/>
      <color indexed="15"/>
      <name val="Calibri"/>
    </font>
    <font>
      <b val="1"/>
      <sz val="11"/>
      <color indexed="8"/>
      <name val="Calibri"/>
    </font>
    <font>
      <sz val="12"/>
      <color indexed="8"/>
      <name val="Helvetica Neue"/>
    </font>
    <font>
      <b val="1"/>
      <sz val="10"/>
      <color indexed="12"/>
      <name val="Calibri"/>
    </font>
    <font>
      <sz val="9"/>
      <color indexed="15"/>
      <name val="Calibri"/>
    </font>
    <font>
      <b val="1"/>
      <sz val="12"/>
      <color indexed="8"/>
      <name val="Calibri"/>
    </font>
    <font>
      <b val="1"/>
      <sz val="14"/>
      <color indexed="13"/>
      <name val="Calibri"/>
    </font>
    <font>
      <i val="1"/>
      <sz val="10"/>
      <color indexed="23"/>
      <name val="Calibri"/>
    </font>
    <font>
      <b val="1"/>
      <sz val="11"/>
      <color indexed="12"/>
      <name val="Calibri"/>
    </font>
    <font>
      <b val="1"/>
      <sz val="13"/>
      <color indexed="13"/>
      <name val="Calibri"/>
    </font>
    <font>
      <b val="1"/>
      <sz val="20"/>
      <color indexed="12"/>
      <name val="Calibri"/>
    </font>
    <font>
      <sz val="11"/>
      <color indexed="12"/>
      <name val="Calibri"/>
    </font>
    <font>
      <b val="1"/>
      <sz val="11"/>
      <color indexed="13"/>
      <name val="Calibri"/>
    </font>
    <font>
      <sz val="11"/>
      <color indexed="15"/>
      <name val="Calibri"/>
    </font>
    <font>
      <b val="1"/>
      <sz val="16"/>
      <color indexed="13"/>
      <name val="Calibri"/>
    </font>
    <font>
      <b val="1"/>
      <sz val="10"/>
      <color indexed="15"/>
      <name val="Calibri"/>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12"/>
        <bgColor auto="1"/>
      </patternFill>
    </fill>
    <fill>
      <patternFill patternType="solid">
        <fgColor indexed="22"/>
        <bgColor auto="1"/>
      </patternFill>
    </fill>
    <fill>
      <patternFill patternType="solid">
        <fgColor indexed="24"/>
        <bgColor auto="1"/>
      </patternFill>
    </fill>
    <fill>
      <patternFill patternType="solid">
        <fgColor indexed="25"/>
        <bgColor auto="1"/>
      </patternFill>
    </fill>
  </fills>
  <borders count="39">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style="thin">
        <color indexed="17"/>
      </bottom>
      <diagonal/>
    </border>
    <border>
      <left/>
      <right/>
      <top/>
      <bottom/>
      <diagonal/>
    </border>
    <border>
      <left/>
      <right style="thin">
        <color indexed="14"/>
      </right>
      <top/>
      <bottom/>
      <diagonal/>
    </border>
    <border>
      <left style="thin">
        <color indexed="14"/>
      </left>
      <right style="thin">
        <color indexed="17"/>
      </right>
      <top/>
      <bottom style="thin">
        <color indexed="14"/>
      </bottom>
      <diagonal/>
    </border>
    <border>
      <left style="thin">
        <color indexed="17"/>
      </left>
      <right style="thin">
        <color indexed="17"/>
      </right>
      <top style="thin">
        <color indexed="17"/>
      </top>
      <bottom style="thin">
        <color indexed="17"/>
      </bottom>
      <diagonal/>
    </border>
    <border>
      <left style="thin">
        <color indexed="17"/>
      </left>
      <right style="thin">
        <color indexed="14"/>
      </right>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diagonal/>
    </border>
    <border>
      <left style="thin">
        <color indexed="14"/>
      </left>
      <right style="thin">
        <color indexed="14"/>
      </right>
      <top style="thin">
        <color indexed="17"/>
      </top>
      <bottom/>
      <diagonal/>
    </border>
    <border>
      <left style="thin">
        <color indexed="14"/>
      </left>
      <right style="thin">
        <color indexed="14"/>
      </right>
      <top style="thin">
        <color indexed="14"/>
      </top>
      <bottom style="thin">
        <color indexed="14"/>
      </bottom>
      <diagonal/>
    </border>
    <border>
      <left style="thin">
        <color indexed="14"/>
      </left>
      <right style="thin">
        <color indexed="17"/>
      </right>
      <top style="thin">
        <color indexed="14"/>
      </top>
      <bottom style="thin">
        <color indexed="14"/>
      </bottom>
      <diagonal/>
    </border>
    <border>
      <left style="thin">
        <color indexed="17"/>
      </left>
      <right style="thin">
        <color indexed="14"/>
      </right>
      <top style="thin">
        <color indexed="14"/>
      </top>
      <bottom style="thin">
        <color indexed="14"/>
      </bottom>
      <diagonal/>
    </border>
    <border>
      <left style="thin">
        <color indexed="14"/>
      </left>
      <right style="thin">
        <color indexed="14"/>
      </right>
      <top/>
      <bottom/>
      <diagonal/>
    </border>
    <border>
      <left style="thin">
        <color indexed="14"/>
      </left>
      <right style="thin">
        <color indexed="14"/>
      </right>
      <top style="thin">
        <color indexed="17"/>
      </top>
      <bottom style="thin">
        <color indexed="14"/>
      </bottom>
      <diagonal/>
    </border>
    <border>
      <left style="thin">
        <color indexed="14"/>
      </left>
      <right style="thin">
        <color indexed="17"/>
      </right>
      <top style="thin">
        <color indexed="17"/>
      </top>
      <bottom style="thin">
        <color indexed="14"/>
      </bottom>
      <diagonal/>
    </border>
    <border>
      <left style="thin">
        <color indexed="14"/>
      </left>
      <right style="thin">
        <color indexed="14"/>
      </right>
      <top style="thin">
        <color indexed="14"/>
      </top>
      <bottom style="thin">
        <color indexed="17"/>
      </bottom>
      <diagonal/>
    </border>
    <border>
      <left style="thin">
        <color indexed="14"/>
      </left>
      <right style="thin">
        <color indexed="17"/>
      </right>
      <top style="thin">
        <color indexed="17"/>
      </top>
      <bottom style="thin">
        <color indexed="17"/>
      </bottom>
      <diagonal/>
    </border>
    <border>
      <left style="thin">
        <color indexed="17"/>
      </left>
      <right style="thin">
        <color indexed="14"/>
      </right>
      <top style="thin">
        <color indexed="17"/>
      </top>
      <bottom style="thin">
        <color indexed="14"/>
      </bottom>
      <diagonal/>
    </border>
    <border>
      <left/>
      <right style="thin">
        <color indexed="14"/>
      </right>
      <top/>
      <bottom style="thin">
        <color indexed="17"/>
      </bottom>
      <diagonal/>
    </border>
    <border>
      <left style="thin">
        <color indexed="14"/>
      </left>
      <right style="thin">
        <color indexed="17"/>
      </right>
      <top style="thin">
        <color indexed="14"/>
      </top>
      <bottom/>
      <diagonal/>
    </border>
    <border>
      <left style="thin">
        <color indexed="14"/>
      </left>
      <right/>
      <top/>
      <bottom style="thin">
        <color indexed="14"/>
      </bottom>
      <diagonal/>
    </border>
    <border>
      <left/>
      <right/>
      <top/>
      <bottom style="thin">
        <color indexed="14"/>
      </bottom>
      <diagonal/>
    </border>
    <border>
      <left/>
      <right style="thin">
        <color indexed="17"/>
      </right>
      <top style="thin">
        <color indexed="17"/>
      </top>
      <bottom style="thin">
        <color indexed="14"/>
      </bottom>
      <diagonal/>
    </border>
    <border>
      <left style="thin">
        <color indexed="14"/>
      </left>
      <right style="thin">
        <color indexed="14"/>
      </right>
      <top/>
      <bottom style="thin">
        <color indexed="17"/>
      </bottom>
      <diagonal/>
    </border>
    <border>
      <left style="thin">
        <color indexed="14"/>
      </left>
      <right style="thin">
        <color indexed="17"/>
      </right>
      <top style="thin">
        <color indexed="14"/>
      </top>
      <bottom style="thin">
        <color indexed="17"/>
      </bottom>
      <diagonal/>
    </border>
    <border>
      <left style="thin">
        <color indexed="17"/>
      </left>
      <right style="thin">
        <color indexed="17"/>
      </right>
      <top style="thin">
        <color indexed="14"/>
      </top>
      <bottom style="thin">
        <color indexed="14"/>
      </bottom>
      <diagonal/>
    </border>
    <border>
      <left style="thin">
        <color indexed="17"/>
      </left>
      <right style="thin">
        <color indexed="14"/>
      </right>
      <top style="thin">
        <color indexed="17"/>
      </top>
      <bottom style="thin">
        <color indexed="17"/>
      </bottom>
      <diagonal/>
    </border>
    <border>
      <left style="thin">
        <color indexed="14"/>
      </left>
      <right/>
      <top/>
      <bottom style="thin">
        <color indexed="17"/>
      </bottom>
      <diagonal/>
    </border>
    <border>
      <left style="thin">
        <color indexed="14"/>
      </left>
      <right style="thin">
        <color indexed="14"/>
      </right>
      <top style="thin">
        <color indexed="17"/>
      </top>
      <bottom style="thin">
        <color indexed="17"/>
      </bottom>
      <diagonal/>
    </border>
    <border>
      <left/>
      <right style="thin">
        <color indexed="17"/>
      </right>
      <top/>
      <bottom/>
      <diagonal/>
    </border>
    <border>
      <left style="thin">
        <color indexed="17"/>
      </left>
      <right style="thin">
        <color indexed="14"/>
      </right>
      <top/>
      <bottom/>
      <diagonal/>
    </border>
    <border>
      <left style="thin">
        <color indexed="17"/>
      </left>
      <right/>
      <top/>
      <bottom style="thin">
        <color indexed="14"/>
      </bottom>
      <diagonal/>
    </border>
    <border>
      <left style="thin">
        <color indexed="17"/>
      </left>
      <right/>
      <top style="thin">
        <color indexed="14"/>
      </top>
      <bottom style="thin">
        <color indexed="14"/>
      </bottom>
      <diagonal/>
    </border>
    <border>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14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horizontal="left" vertical="center"/>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49" fontId="6" fillId="5" borderId="4" applyNumberFormat="1" applyFont="1" applyFill="1" applyBorder="1" applyAlignment="1" applyProtection="0">
      <alignment horizontal="left" vertical="center" wrapText="1"/>
    </xf>
    <xf numFmtId="0" fontId="0" fillId="5" borderId="5" applyNumberFormat="0" applyFont="1" applyFill="1" applyBorder="1" applyAlignment="1" applyProtection="0">
      <alignment vertical="bottom"/>
    </xf>
    <xf numFmtId="0" fontId="0" fillId="5" borderId="6" applyNumberFormat="0" applyFont="1" applyFill="1" applyBorder="1" applyAlignment="1" applyProtection="0">
      <alignment vertical="bottom"/>
    </xf>
    <xf numFmtId="0" fontId="0" fillId="5" borderId="7" applyNumberFormat="0" applyFont="1" applyFill="1" applyBorder="1" applyAlignment="1" applyProtection="0">
      <alignment vertical="bottom"/>
    </xf>
    <xf numFmtId="49" fontId="7" borderId="8" applyNumberFormat="1" applyFont="1" applyFill="0" applyBorder="1" applyAlignment="1" applyProtection="0">
      <alignment vertical="bottom"/>
    </xf>
    <xf numFmtId="49" fontId="8" fillId="6" borderId="9" applyNumberFormat="1" applyFont="1" applyFill="1" applyBorder="1" applyAlignment="1" applyProtection="0">
      <alignment horizontal="center" vertical="center" wrapText="1"/>
    </xf>
    <xf numFmtId="49" fontId="9" fillId="7" borderId="9" applyNumberFormat="1" applyFont="1" applyFill="1" applyBorder="1" applyAlignment="1" applyProtection="0">
      <alignment horizontal="center" vertical="center" wrapText="1"/>
    </xf>
    <xf numFmtId="49" fontId="10" borderId="10"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11" fillId="8" borderId="4" applyNumberFormat="1" applyFont="1" applyFill="1" applyBorder="1" applyAlignment="1" applyProtection="0">
      <alignment horizontal="left" vertical="center"/>
    </xf>
    <xf numFmtId="0" fontId="0" fillId="8" borderId="6" applyNumberFormat="0" applyFont="1" applyFill="1" applyBorder="1" applyAlignment="1" applyProtection="0">
      <alignment vertical="bottom"/>
    </xf>
    <xf numFmtId="0" fontId="0" fillId="8" borderId="5" applyNumberFormat="0" applyFont="1" applyFill="1" applyBorder="1" applyAlignment="1" applyProtection="0">
      <alignment vertical="bottom"/>
    </xf>
    <xf numFmtId="0" fontId="0" fillId="8" borderId="7" applyNumberFormat="0" applyFont="1" applyFill="1" applyBorder="1" applyAlignment="1" applyProtection="0">
      <alignment vertical="bottom"/>
    </xf>
    <xf numFmtId="49" fontId="8" fillId="9" borderId="11" applyNumberFormat="1" applyFont="1" applyFill="1" applyBorder="1" applyAlignment="1" applyProtection="0">
      <alignment horizontal="left" vertical="center" wrapText="1"/>
    </xf>
    <xf numFmtId="0" fontId="0" borderId="8" applyNumberFormat="0" applyFont="1" applyFill="0" applyBorder="1" applyAlignment="1" applyProtection="0">
      <alignment vertical="bottom"/>
    </xf>
    <xf numFmtId="3" fontId="8" fillId="6" borderId="9" applyNumberFormat="1" applyFont="1" applyFill="1" applyBorder="1" applyAlignment="1" applyProtection="0">
      <alignment horizontal="center" vertical="center" wrapText="1"/>
    </xf>
    <xf numFmtId="49" fontId="13" borderId="10" applyNumberFormat="1" applyFont="1" applyFill="0" applyBorder="1" applyAlignment="1" applyProtection="0">
      <alignment vertical="bottom"/>
    </xf>
    <xf numFmtId="49" fontId="8" fillId="9" borderId="14" applyNumberFormat="1" applyFont="1" applyFill="1" applyBorder="1" applyAlignment="1" applyProtection="0">
      <alignment horizontal="left" vertical="center" wrapText="1"/>
    </xf>
    <xf numFmtId="0" fontId="0" borderId="15" applyNumberFormat="0" applyFont="1" applyFill="0" applyBorder="1" applyAlignment="1" applyProtection="0">
      <alignment vertical="bottom"/>
    </xf>
    <xf numFmtId="9" fontId="8" fillId="6" borderId="9" applyNumberFormat="1" applyFont="1" applyFill="1" applyBorder="1" applyAlignment="1" applyProtection="0">
      <alignment horizontal="center" vertical="center" wrapText="1"/>
    </xf>
    <xf numFmtId="49" fontId="13" borderId="16" applyNumberFormat="1" applyFont="1" applyFill="0" applyBorder="1" applyAlignment="1" applyProtection="0">
      <alignment vertical="bottom"/>
    </xf>
    <xf numFmtId="0" fontId="0" borderId="14" applyNumberFormat="0" applyFont="1" applyFill="0" applyBorder="1" applyAlignment="1" applyProtection="0">
      <alignment vertical="bottom"/>
    </xf>
    <xf numFmtId="1" fontId="8" fillId="6" borderId="9" applyNumberFormat="1" applyFont="1" applyFill="1" applyBorder="1" applyAlignment="1" applyProtection="0">
      <alignment horizontal="center" vertical="center" wrapText="1"/>
    </xf>
    <xf numFmtId="0" fontId="0" borderId="16" applyNumberFormat="0" applyFont="1" applyFill="0" applyBorder="1" applyAlignment="1" applyProtection="0">
      <alignment vertical="bottom"/>
    </xf>
    <xf numFmtId="49" fontId="9" fillId="9" borderId="11" applyNumberFormat="1" applyFont="1" applyFill="1" applyBorder="1" applyAlignment="1" applyProtection="0">
      <alignment horizontal="left" vertical="center" wrapText="1"/>
    </xf>
    <xf numFmtId="0" fontId="0" borderId="10" applyNumberFormat="0" applyFont="1" applyFill="0" applyBorder="1" applyAlignment="1" applyProtection="0">
      <alignment vertical="bottom"/>
    </xf>
    <xf numFmtId="49" fontId="9" fillId="9" borderId="14" applyNumberFormat="1" applyFont="1" applyFill="1" applyBorder="1" applyAlignment="1" applyProtection="0">
      <alignment horizontal="left" vertical="center" wrapText="1"/>
    </xf>
    <xf numFmtId="59" fontId="8" fillId="6" borderId="9" applyNumberFormat="1" applyFont="1" applyFill="1" applyBorder="1" applyAlignment="1" applyProtection="0">
      <alignment horizontal="center" vertical="center" wrapText="1"/>
    </xf>
    <xf numFmtId="2" fontId="9" fillId="7" borderId="9" applyNumberFormat="1" applyFont="1" applyFill="1" applyBorder="1" applyAlignment="1" applyProtection="0">
      <alignment horizontal="center" vertical="center" wrapText="1"/>
    </xf>
    <xf numFmtId="59" fontId="9" fillId="7" borderId="9" applyNumberFormat="1" applyFont="1" applyFill="1" applyBorder="1" applyAlignment="1" applyProtection="0">
      <alignment horizontal="center" vertical="center" wrapText="1"/>
    </xf>
    <xf numFmtId="1" fontId="9" fillId="7" borderId="9" applyNumberFormat="1" applyFont="1" applyFill="1" applyBorder="1" applyAlignment="1" applyProtection="0">
      <alignment horizontal="center" vertical="center" wrapText="1"/>
    </xf>
    <xf numFmtId="60" fontId="8" fillId="6" borderId="9" applyNumberFormat="1" applyFont="1" applyFill="1" applyBorder="1" applyAlignment="1" applyProtection="0">
      <alignment horizontal="center" vertical="center" wrapText="1"/>
    </xf>
    <xf numFmtId="61" fontId="8" fillId="6" borderId="9" applyNumberFormat="1" applyFont="1" applyFill="1" applyBorder="1" applyAlignment="1" applyProtection="0">
      <alignment horizontal="center" vertical="center" wrapText="1"/>
    </xf>
    <xf numFmtId="61" fontId="14" fillId="10" borderId="9" applyNumberFormat="1" applyFont="1" applyFill="1" applyBorder="1" applyAlignment="1" applyProtection="0">
      <alignment horizontal="center" vertical="center" wrapText="1"/>
    </xf>
    <xf numFmtId="61" fontId="9" fillId="7" borderId="9" applyNumberFormat="1" applyFont="1" applyFill="1" applyBorder="1" applyAlignment="1" applyProtection="0">
      <alignment horizontal="center" vertical="center" wrapText="1"/>
    </xf>
    <xf numFmtId="60" fontId="9" fillId="7" borderId="9" applyNumberFormat="1" applyFont="1" applyFill="1" applyBorder="1" applyAlignment="1" applyProtection="0">
      <alignment horizontal="center" vertical="center" wrapText="1"/>
    </xf>
    <xf numFmtId="4" fontId="8" fillId="6" borderId="9"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6" fillId="5" borderId="4" applyNumberFormat="1" applyFont="1" applyFill="1" applyBorder="1" applyAlignment="1" applyProtection="0">
      <alignment vertical="bottom"/>
    </xf>
    <xf numFmtId="0" fontId="0" borderId="17" applyNumberFormat="0" applyFont="1" applyFill="0" applyBorder="1" applyAlignment="1" applyProtection="0">
      <alignment vertical="bottom"/>
    </xf>
    <xf numFmtId="49" fontId="16" fillId="4" borderId="4" applyNumberFormat="1" applyFont="1" applyFill="1" applyBorder="1" applyAlignment="1" applyProtection="0">
      <alignment horizontal="center" vertical="center" wrapText="1"/>
    </xf>
    <xf numFmtId="49" fontId="16" fillId="4" borderId="5" applyNumberFormat="1" applyFont="1" applyFill="1" applyBorder="1" applyAlignment="1" applyProtection="0">
      <alignment horizontal="center" vertical="center" wrapText="1"/>
    </xf>
    <xf numFmtId="49" fontId="16" fillId="4" borderId="7" applyNumberFormat="1" applyFont="1" applyFill="1" applyBorder="1" applyAlignment="1" applyProtection="0">
      <alignment horizontal="center" vertical="center" wrapText="1"/>
    </xf>
    <xf numFmtId="49" fontId="0" borderId="8" applyNumberFormat="1" applyFont="1" applyFill="0" applyBorder="1" applyAlignment="1" applyProtection="0">
      <alignment vertical="bottom"/>
    </xf>
    <xf numFmtId="49" fontId="17" fillId="9" borderId="10" applyNumberFormat="1" applyFont="1" applyFill="1" applyBorder="1" applyAlignment="1" applyProtection="0">
      <alignment horizontal="left" vertical="center" wrapText="1"/>
    </xf>
    <xf numFmtId="49" fontId="0" borderId="15" applyNumberFormat="1" applyFont="1" applyFill="0" applyBorder="1" applyAlignment="1" applyProtection="0">
      <alignment vertical="bottom"/>
    </xf>
    <xf numFmtId="49" fontId="17" borderId="16" applyNumberFormat="1" applyFont="1" applyFill="0" applyBorder="1" applyAlignment="1" applyProtection="0">
      <alignment vertical="bottom"/>
    </xf>
    <xf numFmtId="49" fontId="14" borderId="14" applyNumberFormat="1" applyFont="1" applyFill="0" applyBorder="1" applyAlignment="1" applyProtection="0">
      <alignment vertical="bottom"/>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2" fontId="14" fillId="10" borderId="9" applyNumberFormat="1" applyFont="1" applyFill="1" applyBorder="1" applyAlignment="1" applyProtection="0">
      <alignment horizontal="center" vertical="center" wrapText="1"/>
    </xf>
    <xf numFmtId="0" fontId="0" borderId="20" applyNumberFormat="0" applyFont="1" applyFill="0" applyBorder="1" applyAlignment="1" applyProtection="0">
      <alignment vertical="bottom"/>
    </xf>
    <xf numFmtId="9" fontId="9" fillId="7" borderId="9" applyNumberFormat="1" applyFont="1" applyFill="1" applyBorder="1" applyAlignment="1" applyProtection="0">
      <alignment horizontal="center" vertical="center" wrapText="1"/>
    </xf>
    <xf numFmtId="2" fontId="18" fillId="10" borderId="9" applyNumberFormat="1" applyFont="1" applyFill="1" applyBorder="1" applyAlignment="1" applyProtection="0">
      <alignment horizontal="center" vertical="center" wrapText="1"/>
    </xf>
    <xf numFmtId="1" fontId="19" fillId="10" borderId="9" applyNumberFormat="1" applyFont="1" applyFill="1" applyBorder="1" applyAlignment="1" applyProtection="0">
      <alignment horizontal="center" vertical="center" wrapText="1"/>
    </xf>
    <xf numFmtId="60" fontId="14" fillId="10" borderId="9" applyNumberFormat="1" applyFont="1" applyFill="1" applyBorder="1" applyAlignment="1" applyProtection="0">
      <alignment horizontal="center" vertical="center" wrapText="1"/>
    </xf>
    <xf numFmtId="49" fontId="17" borderId="10" applyNumberFormat="1" applyFont="1" applyFill="0" applyBorder="1" applyAlignment="1" applyProtection="0">
      <alignment vertical="bottom"/>
    </xf>
    <xf numFmtId="0" fontId="0" borderId="21" applyNumberFormat="0" applyFont="1" applyFill="0" applyBorder="1" applyAlignment="1" applyProtection="0">
      <alignment vertical="bottom"/>
    </xf>
    <xf numFmtId="1" fontId="14" fillId="10" borderId="9" applyNumberFormat="1" applyFont="1" applyFill="1" applyBorder="1" applyAlignment="1" applyProtection="0">
      <alignment horizontal="center" vertical="center" wrapText="1"/>
    </xf>
    <xf numFmtId="0" fontId="20" borderId="22" applyNumberFormat="1" applyFont="1" applyFill="0" applyBorder="1" applyAlignment="1" applyProtection="0">
      <alignment vertical="bottom"/>
    </xf>
    <xf numFmtId="49" fontId="16" fillId="4" borderId="23" applyNumberFormat="1" applyFont="1" applyFill="1" applyBorder="1" applyAlignment="1" applyProtection="0">
      <alignment horizontal="center" vertical="center" wrapText="1"/>
    </xf>
    <xf numFmtId="2" fontId="9" fillId="10" borderId="9" applyNumberFormat="1" applyFont="1" applyFill="1" applyBorder="1" applyAlignment="1" applyProtection="0">
      <alignment horizontal="center" vertical="center" wrapText="1"/>
    </xf>
    <xf numFmtId="0" fontId="20" borderId="16" applyNumberFormat="0" applyFont="1" applyFill="0" applyBorder="1" applyAlignment="1" applyProtection="0">
      <alignment vertical="bottom"/>
    </xf>
    <xf numFmtId="49" fontId="16" fillId="4" borderId="6" applyNumberFormat="1" applyFont="1" applyFill="1" applyBorder="1" applyAlignment="1" applyProtection="0">
      <alignment horizontal="center" vertical="center" wrapText="1"/>
    </xf>
    <xf numFmtId="0" fontId="16" fillId="4" borderId="6" applyNumberFormat="0" applyFont="1" applyFill="1" applyBorder="1" applyAlignment="1" applyProtection="0">
      <alignment horizontal="center" vertical="center" wrapText="1"/>
    </xf>
    <xf numFmtId="0" fontId="16" fillId="4" borderId="7" applyNumberFormat="0" applyFont="1" applyFill="1" applyBorder="1" applyAlignment="1" applyProtection="0">
      <alignment horizontal="center" vertical="center" wrapText="1"/>
    </xf>
    <xf numFmtId="49" fontId="0" borderId="11" applyNumberFormat="1" applyFont="1" applyFill="0" applyBorder="1" applyAlignment="1" applyProtection="0">
      <alignment vertical="bottom"/>
    </xf>
    <xf numFmtId="49" fontId="0" borderId="14" applyNumberFormat="1" applyFont="1" applyFill="0" applyBorder="1" applyAlignment="1" applyProtection="0">
      <alignment vertical="bottom"/>
    </xf>
    <xf numFmtId="0" fontId="17" borderId="16" applyNumberFormat="1" applyFont="1" applyFill="0" applyBorder="1" applyAlignment="1" applyProtection="0">
      <alignment vertical="bottom"/>
    </xf>
    <xf numFmtId="0" fontId="0" borderId="19" applyNumberFormat="1" applyFont="1" applyFill="0" applyBorder="1" applyAlignment="1" applyProtection="0">
      <alignment vertical="bottom"/>
    </xf>
    <xf numFmtId="0" fontId="0" borderId="15" applyNumberFormat="1" applyFont="1" applyFill="0" applyBorder="1" applyAlignment="1" applyProtection="0">
      <alignment vertical="bottom"/>
    </xf>
    <xf numFmtId="49" fontId="0" borderId="12" applyNumberFormat="1" applyFont="1" applyFill="0" applyBorder="1" applyAlignment="1" applyProtection="0">
      <alignment vertical="bottom"/>
    </xf>
    <xf numFmtId="0" fontId="0" borderId="24" applyNumberFormat="1" applyFont="1" applyFill="0" applyBorder="1" applyAlignment="1" applyProtection="0">
      <alignment vertical="bottom"/>
    </xf>
    <xf numFmtId="49" fontId="21" fillId="4" borderId="25" applyNumberFormat="1" applyFont="1" applyFill="1" applyBorder="1" applyAlignment="1" applyProtection="0">
      <alignment vertical="bottom"/>
    </xf>
    <xf numFmtId="0" fontId="21" fillId="4" borderId="26" applyNumberFormat="0" applyFont="1" applyFill="1" applyBorder="1" applyAlignment="1" applyProtection="0">
      <alignment vertical="bottom"/>
    </xf>
    <xf numFmtId="0" fontId="21" fillId="4" borderId="27" applyNumberFormat="0" applyFont="1" applyFill="1" applyBorder="1" applyAlignment="1" applyProtection="0">
      <alignment vertical="bottom"/>
    </xf>
    <xf numFmtId="60" fontId="22" fillId="11" borderId="9"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1" fontId="18" fillId="10" borderId="9" applyNumberFormat="1" applyFont="1" applyFill="1" applyBorder="1" applyAlignment="1" applyProtection="0">
      <alignment horizontal="center" vertical="center" wrapText="1"/>
    </xf>
    <xf numFmtId="1" fontId="19" fillId="11" borderId="9" applyNumberFormat="1" applyFont="1" applyFill="1" applyBorder="1" applyAlignment="1" applyProtection="0">
      <alignment horizontal="center" vertical="center" wrapText="1"/>
    </xf>
    <xf numFmtId="49" fontId="0" fillId="9" borderId="11" applyNumberFormat="1" applyFont="1" applyFill="1" applyBorder="1" applyAlignment="1" applyProtection="0">
      <alignment vertical="top" wrapText="1"/>
    </xf>
    <xf numFmtId="0" fontId="0" applyNumberFormat="1" applyFont="1" applyFill="0" applyBorder="0" applyAlignment="1" applyProtection="0">
      <alignment vertical="bottom"/>
    </xf>
    <xf numFmtId="49" fontId="23" fillId="4" borderId="1" applyNumberFormat="1" applyFont="1" applyFill="1" applyBorder="1" applyAlignment="1" applyProtection="0">
      <alignment horizontal="left" vertical="center"/>
    </xf>
    <xf numFmtId="49" fontId="24" fillId="8" borderId="4" applyNumberFormat="1" applyFont="1" applyFill="1" applyBorder="1" applyAlignment="1" applyProtection="0">
      <alignment horizontal="left" vertical="center"/>
    </xf>
    <xf numFmtId="0" fontId="0" borderId="28" applyNumberFormat="0" applyFont="1" applyFill="0" applyBorder="1" applyAlignment="1" applyProtection="0">
      <alignment vertical="bottom"/>
    </xf>
    <xf numFmtId="62" fontId="0" borderId="20" applyNumberFormat="1" applyFont="1" applyFill="0" applyBorder="1" applyAlignment="1" applyProtection="0">
      <alignment vertical="bottom"/>
    </xf>
    <xf numFmtId="49" fontId="9" fillId="9" borderId="29" applyNumberFormat="1" applyFont="1" applyFill="1" applyBorder="1" applyAlignment="1" applyProtection="0">
      <alignment horizontal="left" vertical="center" wrapText="1"/>
    </xf>
    <xf numFmtId="49" fontId="9" fillId="9" borderId="30" applyNumberFormat="1" applyFont="1" applyFill="1" applyBorder="1" applyAlignment="1" applyProtection="0">
      <alignment horizontal="left" vertical="center" wrapText="1"/>
    </xf>
    <xf numFmtId="3" fontId="9" fillId="7" borderId="9" applyNumberFormat="1" applyFont="1" applyFill="1" applyBorder="1" applyAlignment="1" applyProtection="0">
      <alignment horizontal="center" vertical="center" wrapText="1"/>
    </xf>
    <xf numFmtId="49" fontId="9" fillId="9" borderId="15" applyNumberFormat="1" applyFont="1" applyFill="1" applyBorder="1" applyAlignment="1" applyProtection="0">
      <alignment horizontal="left" vertical="center" wrapText="1"/>
    </xf>
    <xf numFmtId="49" fontId="8" fillId="6" borderId="9" applyNumberFormat="1" applyFont="1" applyFill="1" applyBorder="1" applyAlignment="1" applyProtection="0">
      <alignment horizontal="left" vertical="center" wrapText="1"/>
    </xf>
    <xf numFmtId="0" fontId="0" borderId="31" applyNumberFormat="0" applyFont="1" applyFill="0" applyBorder="1" applyAlignment="1" applyProtection="0">
      <alignment vertical="bottom"/>
    </xf>
    <xf numFmtId="49" fontId="25" fillId="7" borderId="32" applyNumberFormat="1" applyFont="1" applyFill="1" applyBorder="1" applyAlignment="1" applyProtection="0">
      <alignment vertical="bottom"/>
    </xf>
    <xf numFmtId="0" fontId="0" fillId="7" borderId="5" applyNumberFormat="0" applyFont="1" applyFill="1" applyBorder="1" applyAlignment="1" applyProtection="0">
      <alignment vertical="bottom"/>
    </xf>
    <xf numFmtId="0" fontId="0" fillId="7" borderId="23" applyNumberFormat="0" applyFont="1" applyFill="1" applyBorder="1" applyAlignment="1" applyProtection="0">
      <alignment vertical="bottom"/>
    </xf>
    <xf numFmtId="0" fontId="26" fillId="9" borderId="9" applyNumberFormat="1" applyFont="1" applyFill="1" applyBorder="1" applyAlignment="1" applyProtection="0">
      <alignment horizontal="center" vertical="center" wrapText="1"/>
    </xf>
    <xf numFmtId="49" fontId="0" fillId="9" borderId="9" applyNumberFormat="1" applyFont="1" applyFill="1" applyBorder="1" applyAlignment="1" applyProtection="0">
      <alignment horizontal="left" vertical="center" wrapText="1"/>
    </xf>
    <xf numFmtId="4" fontId="9" fillId="7" borderId="9" applyNumberFormat="1" applyFont="1" applyFill="1" applyBorder="1" applyAlignment="1" applyProtection="0">
      <alignment horizontal="center" vertical="center" wrapText="1"/>
    </xf>
    <xf numFmtId="49" fontId="0" fillId="9" borderId="9" applyNumberFormat="1" applyFont="1" applyFill="1" applyBorder="1" applyAlignment="1" applyProtection="0">
      <alignment horizontal="center" vertical="center" wrapText="1"/>
    </xf>
    <xf numFmtId="49" fontId="14" borderId="18" applyNumberFormat="1" applyFont="1" applyFill="0" applyBorder="1" applyAlignment="1" applyProtection="0">
      <alignment vertical="bottom"/>
    </xf>
    <xf numFmtId="49" fontId="14" borderId="33" applyNumberFormat="1" applyFont="1" applyFill="0" applyBorder="1" applyAlignment="1" applyProtection="0">
      <alignment vertical="bottom"/>
    </xf>
    <xf numFmtId="0" fontId="0" borderId="33" applyNumberFormat="0" applyFont="1" applyFill="0" applyBorder="1" applyAlignment="1" applyProtection="0">
      <alignment vertical="bottom"/>
    </xf>
    <xf numFmtId="0" fontId="0" fillId="8" borderId="23" applyNumberFormat="0" applyFont="1" applyFill="1" applyBorder="1" applyAlignment="1" applyProtection="0">
      <alignment vertical="bottom"/>
    </xf>
    <xf numFmtId="60" fontId="14" fillId="7" borderId="9" applyNumberFormat="1" applyFont="1" applyFill="1" applyBorder="1" applyAlignment="1" applyProtection="0">
      <alignment horizontal="center" vertical="center" wrapText="1"/>
    </xf>
    <xf numFmtId="49" fontId="9" fillId="9" borderId="12" applyNumberFormat="1" applyFont="1" applyFill="1" applyBorder="1" applyAlignment="1" applyProtection="0">
      <alignment horizontal="left" vertical="center" wrapText="1"/>
    </xf>
    <xf numFmtId="0" fontId="0" borderId="24" applyNumberFormat="0" applyFont="1" applyFill="0" applyBorder="1" applyAlignment="1" applyProtection="0">
      <alignment vertical="bottom"/>
    </xf>
    <xf numFmtId="49" fontId="21" fillId="4" borderId="4" applyNumberFormat="1" applyFont="1" applyFill="1" applyBorder="1" applyAlignment="1" applyProtection="0">
      <alignment vertical="bottom"/>
    </xf>
    <xf numFmtId="0" fontId="21" fillId="4" borderId="6" applyNumberFormat="0" applyFont="1" applyFill="1" applyBorder="1" applyAlignment="1" applyProtection="0">
      <alignment vertical="bottom"/>
    </xf>
    <xf numFmtId="0" fontId="21" fillId="4" borderId="34" applyNumberFormat="0" applyFont="1" applyFill="1" applyBorder="1" applyAlignment="1" applyProtection="0">
      <alignment vertical="bottom"/>
    </xf>
    <xf numFmtId="60" fontId="27" fillId="11" borderId="9" applyNumberFormat="1" applyFont="1" applyFill="1" applyBorder="1" applyAlignment="1" applyProtection="0">
      <alignment horizontal="center" vertical="center" wrapText="1"/>
    </xf>
    <xf numFmtId="61" fontId="18" fillId="7" borderId="9" applyNumberFormat="1" applyFont="1" applyFill="1" applyBorder="1" applyAlignment="1" applyProtection="0">
      <alignment horizontal="center" vertical="center" wrapText="1"/>
    </xf>
    <xf numFmtId="49" fontId="17" fillId="9" borderId="14" applyNumberFormat="1" applyFont="1" applyFill="1" applyBorder="1" applyAlignment="1" applyProtection="0">
      <alignment vertical="top" wrapText="1"/>
    </xf>
    <xf numFmtId="49" fontId="28" borderId="14" applyNumberFormat="1" applyFont="1" applyFill="0" applyBorder="1" applyAlignment="1" applyProtection="0">
      <alignment vertical="bottom"/>
    </xf>
    <xf numFmtId="0" fontId="0" applyNumberFormat="1" applyFont="1" applyFill="0" applyBorder="0" applyAlignment="1" applyProtection="0">
      <alignment vertical="bottom"/>
    </xf>
    <xf numFmtId="49" fontId="0" fillId="12" borderId="35" applyNumberFormat="1" applyFont="1" applyFill="1" applyBorder="1" applyAlignment="1" applyProtection="0">
      <alignment vertical="bottom"/>
    </xf>
    <xf numFmtId="4" fontId="0" fillId="9" borderId="9" applyNumberFormat="1" applyFont="1" applyFill="1" applyBorder="1" applyAlignment="1" applyProtection="0">
      <alignment horizontal="center" vertical="center" wrapText="1"/>
    </xf>
    <xf numFmtId="49" fontId="0" fillId="6" borderId="35" applyNumberFormat="1" applyFont="1" applyFill="1" applyBorder="1" applyAlignment="1" applyProtection="0">
      <alignment vertical="bottom"/>
    </xf>
    <xf numFmtId="61" fontId="0" fillId="9" borderId="9" applyNumberFormat="1" applyFont="1" applyFill="1" applyBorder="1" applyAlignment="1" applyProtection="0">
      <alignment horizontal="center" vertical="center" wrapText="1"/>
    </xf>
    <xf numFmtId="49" fontId="0" fillId="10" borderId="35" applyNumberFormat="1" applyFont="1" applyFill="1" applyBorder="1" applyAlignment="1" applyProtection="0">
      <alignment vertical="bottom"/>
    </xf>
    <xf numFmtId="0" fontId="13" borderId="36" applyNumberFormat="0" applyFont="1" applyFill="0" applyBorder="1" applyAlignment="1" applyProtection="0">
      <alignment vertical="bottom"/>
    </xf>
    <xf numFmtId="49" fontId="0" fillId="12" borderId="7" applyNumberFormat="1" applyFont="1" applyFill="1" applyBorder="1" applyAlignment="1" applyProtection="0">
      <alignment vertical="bottom"/>
    </xf>
    <xf numFmtId="0" fontId="0" borderId="37" applyNumberFormat="0" applyFont="1" applyFill="0" applyBorder="1" applyAlignment="1" applyProtection="0">
      <alignment vertical="bottom"/>
    </xf>
    <xf numFmtId="49" fontId="0" fillId="6" borderId="7" applyNumberFormat="1" applyFont="1" applyFill="1" applyBorder="1" applyAlignment="1" applyProtection="0">
      <alignment vertical="bottom"/>
    </xf>
    <xf numFmtId="49" fontId="0" fillId="10" borderId="7" applyNumberFormat="1" applyFont="1" applyFill="1" applyBorder="1" applyAlignment="1" applyProtection="0">
      <alignment vertical="bottom"/>
    </xf>
    <xf numFmtId="60" fontId="9" fillId="11" borderId="9" applyNumberFormat="1" applyFont="1" applyFill="1" applyBorder="1" applyAlignment="1" applyProtection="0">
      <alignment horizontal="center" vertical="center" wrapText="1"/>
    </xf>
    <xf numFmtId="61" fontId="9" fillId="11" borderId="9" applyNumberFormat="1" applyFont="1" applyFill="1" applyBorder="1" applyAlignment="1" applyProtection="0">
      <alignment horizontal="center" vertical="center" wrapText="1"/>
    </xf>
    <xf numFmtId="49" fontId="16" fillId="4" borderId="4" applyNumberFormat="1" applyFont="1" applyFill="1" applyBorder="1" applyAlignment="1" applyProtection="0">
      <alignment vertical="bottom"/>
    </xf>
    <xf numFmtId="49" fontId="16" fillId="4" borderId="6" applyNumberFormat="1" applyFont="1" applyFill="1" applyBorder="1" applyAlignment="1" applyProtection="0">
      <alignment vertical="bottom"/>
    </xf>
    <xf numFmtId="0" fontId="0" borderId="38" applyNumberFormat="0" applyFont="1" applyFill="0" applyBorder="1" applyAlignment="1" applyProtection="0">
      <alignment vertical="bottom"/>
    </xf>
    <xf numFmtId="49" fontId="7" fillId="9" borderId="11" applyNumberFormat="1" applyFont="1" applyFill="1" applyBorder="1" applyAlignment="1" applyProtection="0">
      <alignment horizontal="left" vertical="center" wrapText="1"/>
    </xf>
    <xf numFmtId="49" fontId="0" fillId="9" borderId="11" applyNumberFormat="1" applyFont="1" applyFill="1" applyBorder="1" applyAlignment="1" applyProtection="0">
      <alignment horizontal="left" vertical="center" wrapText="1"/>
    </xf>
    <xf numFmtId="49" fontId="7" fillId="9" borderId="14" applyNumberFormat="1" applyFont="1" applyFill="1" applyBorder="1" applyAlignment="1" applyProtection="0">
      <alignment horizontal="left" vertical="center" wrapText="1"/>
    </xf>
    <xf numFmtId="49" fontId="0" fillId="9" borderId="14" applyNumberFormat="1" applyFont="1" applyFill="1"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b3a4b"/>
      <rgbColor rgb="ffaaaaaa"/>
      <rgbColor rgb="ff5c5c5c"/>
      <rgbColor rgb="fff7f5f0"/>
      <rgbColor rgb="ffc8c4b8"/>
      <rgbColor rgb="ff1a1a1a"/>
      <rgbColor rgb="fffff3c4"/>
      <rgbColor rgb="ffe4eef5"/>
      <rgbColor rgb="ff2a6f6f"/>
      <rgbColor rgb="ffe3f0e5"/>
      <rgbColor rgb="ffb45309"/>
      <rgbColor rgb="ffc4a35a"/>
      <rgbColor rgb="fff8e0d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85</v>
      </c>
      <c r="C11" s="3"/>
      <c r="D11" s="3"/>
    </row>
    <row r="12">
      <c r="B12" s="4"/>
      <c r="C12" t="s" s="4">
        <v>5</v>
      </c>
      <c r="D12" t="s" s="5">
        <v>85</v>
      </c>
    </row>
    <row r="13">
      <c r="B13" t="s" s="3">
        <v>153</v>
      </c>
      <c r="C13" s="3"/>
      <c r="D13" s="3"/>
    </row>
    <row r="14">
      <c r="B14" s="4"/>
      <c r="C14" t="s" s="4">
        <v>5</v>
      </c>
      <c r="D14" t="s" s="5">
        <v>153</v>
      </c>
    </row>
    <row r="15">
      <c r="B15" t="s" s="3">
        <v>175</v>
      </c>
      <c r="C15" s="3"/>
      <c r="D15" s="3"/>
    </row>
    <row r="16">
      <c r="B16" s="4"/>
      <c r="C16" t="s" s="4">
        <v>5</v>
      </c>
      <c r="D16" t="s" s="5">
        <v>175</v>
      </c>
    </row>
    <row r="17">
      <c r="B17" t="s" s="3">
        <v>214</v>
      </c>
      <c r="C17" s="3"/>
      <c r="D17" s="3"/>
    </row>
    <row r="18">
      <c r="B18" s="4"/>
      <c r="C18" t="s" s="4">
        <v>5</v>
      </c>
      <c r="D18" t="s" s="5">
        <v>214</v>
      </c>
    </row>
  </sheetData>
  <mergeCells count="1">
    <mergeCell ref="B3:D3"/>
  </mergeCells>
  <hyperlinks>
    <hyperlink ref="D10" location="'Insumos'!R1C1" tooltip="" display="Insumos"/>
    <hyperlink ref="D12" location="'Cantidades'!R1C1" tooltip="" display="Cantidades"/>
    <hyperlink ref="D14" location="'Corte'!R1C1" tooltip="" display="Corte"/>
    <hyperlink ref="D16" location="'Presupuesto'!R1C1" tooltip="" display="Presupuesto"/>
    <hyperlink ref="D18" location="'Criterios'!R1C1" tooltip="" display="Criterios"/>
  </hyperlinks>
</worksheet>
</file>

<file path=xl/worksheets/sheet2.xml><?xml version="1.0" encoding="utf-8"?>
<worksheet xmlns:r="http://schemas.openxmlformats.org/officeDocument/2006/relationships" xmlns="http://schemas.openxmlformats.org/spreadsheetml/2006/main">
  <sheetPr>
    <pageSetUpPr fitToPage="1"/>
  </sheetPr>
  <dimension ref="A1:F77"/>
  <sheetViews>
    <sheetView workbookViewId="0" showGridLines="0" defaultGridColor="1"/>
  </sheetViews>
  <sheetFormatPr defaultColWidth="8.83333" defaultRowHeight="15" customHeight="1" outlineLevelRow="0" outlineLevelCol="0"/>
  <cols>
    <col min="1" max="1" width="48" style="6" customWidth="1"/>
    <col min="2" max="2" width="4" style="6" customWidth="1"/>
    <col min="3" max="3" width="18" style="6" customWidth="1"/>
    <col min="4" max="4" width="42" style="6" customWidth="1"/>
    <col min="5" max="6" width="14" style="6" customWidth="1"/>
    <col min="7" max="16384" width="8.85156" style="6" customWidth="1"/>
  </cols>
  <sheetData>
    <row r="1" ht="32" customHeight="1">
      <c r="A1" t="s" s="7">
        <v>6</v>
      </c>
      <c r="B1" s="8"/>
      <c r="C1" s="8"/>
      <c r="D1" s="8"/>
      <c r="E1" s="8"/>
      <c r="F1" s="9"/>
    </row>
    <row r="2" ht="28" customHeight="1">
      <c r="A2" t="s" s="10">
        <v>7</v>
      </c>
      <c r="B2" s="11"/>
      <c r="C2" s="11"/>
      <c r="D2" s="12"/>
      <c r="E2" s="12"/>
      <c r="F2" s="13"/>
    </row>
    <row r="3" ht="26.55" customHeight="1">
      <c r="A3" t="s" s="14">
        <v>8</v>
      </c>
      <c r="B3" t="s" s="15">
        <v>9</v>
      </c>
      <c r="C3" t="str" s="16" cm="1">
        <f t="array" ref="C3">"cálculo"</f>
        <v>cálculo</v>
      </c>
      <c r="D3" t="s" s="17">
        <v>11</v>
      </c>
      <c r="E3" s="18"/>
      <c r="F3" s="18"/>
    </row>
    <row r="4" ht="13.55" customHeight="1">
      <c r="A4" s="19"/>
      <c r="B4" s="20"/>
      <c r="C4" s="20"/>
      <c r="D4" s="19"/>
      <c r="E4" s="19"/>
      <c r="F4" s="19"/>
    </row>
    <row r="5" ht="22" customHeight="1">
      <c r="A5" t="s" s="21">
        <v>12</v>
      </c>
      <c r="B5" s="22"/>
      <c r="C5" s="23"/>
      <c r="D5" s="22"/>
      <c r="E5" s="22"/>
      <c r="F5" s="24"/>
    </row>
    <row r="6" ht="13.55" customHeight="1">
      <c r="A6" t="s" s="25">
        <v>13</v>
      </c>
      <c r="B6" s="26"/>
      <c r="C6" s="27">
        <v>1530</v>
      </c>
      <c r="D6" t="s" s="28">
        <v>14</v>
      </c>
      <c r="E6" s="18"/>
      <c r="F6" s="18"/>
    </row>
    <row r="7" ht="13.55" customHeight="1">
      <c r="A7" t="s" s="29">
        <v>15</v>
      </c>
      <c r="B7" s="30"/>
      <c r="C7" s="31">
        <v>0</v>
      </c>
      <c r="D7" t="s" s="32">
        <v>16</v>
      </c>
      <c r="E7" s="33"/>
      <c r="F7" s="33"/>
    </row>
    <row r="8" ht="13.55" customHeight="1">
      <c r="A8" t="s" s="29">
        <v>17</v>
      </c>
      <c r="B8" s="30"/>
      <c r="C8" s="34">
        <v>15</v>
      </c>
      <c r="D8" s="35"/>
      <c r="E8" s="33"/>
      <c r="F8" s="33"/>
    </row>
    <row r="9" ht="13.55" customHeight="1">
      <c r="A9" s="19"/>
      <c r="B9" s="19"/>
      <c r="C9" s="20"/>
      <c r="D9" s="19"/>
      <c r="E9" s="19"/>
      <c r="F9" s="19"/>
    </row>
    <row r="10" ht="22" customHeight="1">
      <c r="A10" t="s" s="21">
        <v>18</v>
      </c>
      <c r="B10" s="22"/>
      <c r="C10" s="23"/>
      <c r="D10" s="22"/>
      <c r="E10" s="22"/>
      <c r="F10" s="24"/>
    </row>
    <row r="11" ht="13.55" customHeight="1">
      <c r="A11" t="s" s="36">
        <v>19</v>
      </c>
      <c r="B11" s="26"/>
      <c r="C11" s="34">
        <v>12</v>
      </c>
      <c r="D11" s="37"/>
      <c r="E11" s="18"/>
      <c r="F11" s="18"/>
    </row>
    <row r="12" ht="13.55" customHeight="1">
      <c r="A12" t="s" s="38">
        <v>20</v>
      </c>
      <c r="B12" s="30"/>
      <c r="C12" s="39">
        <v>0.6</v>
      </c>
      <c r="D12" s="35"/>
      <c r="E12" s="33"/>
      <c r="F12" s="33"/>
    </row>
    <row r="13" ht="13.55" customHeight="1">
      <c r="A13" t="s" s="38">
        <v>21</v>
      </c>
      <c r="B13" s="30"/>
      <c r="C13" s="39">
        <v>1.2</v>
      </c>
      <c r="D13" s="35"/>
      <c r="E13" s="33"/>
      <c r="F13" s="33"/>
    </row>
    <row r="14" ht="13.55" customHeight="1">
      <c r="A14" t="s" s="38">
        <v>22</v>
      </c>
      <c r="B14" s="30"/>
      <c r="C14" s="39">
        <v>0.05</v>
      </c>
      <c r="D14" s="35"/>
      <c r="E14" s="33"/>
      <c r="F14" s="33"/>
    </row>
    <row r="15" ht="13.55" customHeight="1">
      <c r="A15" t="s" s="38">
        <v>23</v>
      </c>
      <c r="B15" s="30"/>
      <c r="C15" s="34">
        <v>1</v>
      </c>
      <c r="D15" s="35"/>
      <c r="E15" s="33"/>
      <c r="F15" s="33"/>
    </row>
    <row r="16" ht="13.55" customHeight="1">
      <c r="A16" t="s" s="38">
        <v>24</v>
      </c>
      <c r="B16" s="30"/>
      <c r="C16" s="40" cm="1">
        <f t="array" ref="C16">C12*C13</f>
        <v>0.72</v>
      </c>
      <c r="D16" s="35"/>
      <c r="E16" s="33"/>
      <c r="F16" s="33"/>
    </row>
    <row r="17" ht="13.55" customHeight="1">
      <c r="A17" t="s" s="38">
        <v>25</v>
      </c>
      <c r="B17" s="30"/>
      <c r="C17" s="40" cm="1">
        <f t="array" ref="C17">C11*C16</f>
        <v>8.640000000000001</v>
      </c>
      <c r="D17" s="35"/>
      <c r="E17" s="33"/>
      <c r="F17" s="33"/>
    </row>
    <row r="18" ht="13.55" customHeight="1">
      <c r="A18" s="19"/>
      <c r="B18" s="19"/>
      <c r="C18" s="20"/>
      <c r="D18" s="19"/>
      <c r="E18" s="19"/>
      <c r="F18" s="19"/>
    </row>
    <row r="19" ht="22" customHeight="1">
      <c r="A19" t="s" s="21">
        <v>26</v>
      </c>
      <c r="B19" s="22"/>
      <c r="C19" s="23"/>
      <c r="D19" s="22"/>
      <c r="E19" s="22"/>
      <c r="F19" s="24"/>
    </row>
    <row r="20" ht="13.55" customHeight="1">
      <c r="A20" t="s" s="36">
        <v>27</v>
      </c>
      <c r="B20" s="26"/>
      <c r="C20" s="34">
        <v>8</v>
      </c>
      <c r="D20" s="37"/>
      <c r="E20" s="18"/>
      <c r="F20" s="18"/>
    </row>
    <row r="21" ht="13.55" customHeight="1">
      <c r="A21" t="s" s="38">
        <v>28</v>
      </c>
      <c r="B21" s="30"/>
      <c r="C21" s="39">
        <v>0.6</v>
      </c>
      <c r="D21" s="35"/>
      <c r="E21" s="33"/>
      <c r="F21" s="33"/>
    </row>
    <row r="22" ht="13.55" customHeight="1">
      <c r="A22" t="s" s="38">
        <v>21</v>
      </c>
      <c r="B22" s="30"/>
      <c r="C22" s="39">
        <v>1.2</v>
      </c>
      <c r="D22" s="35"/>
      <c r="E22" s="33"/>
      <c r="F22" s="33"/>
    </row>
    <row r="23" ht="13.55" customHeight="1">
      <c r="A23" t="s" s="38">
        <v>29</v>
      </c>
      <c r="B23" s="30"/>
      <c r="C23" s="39">
        <v>0.1</v>
      </c>
      <c r="D23" s="35"/>
      <c r="E23" s="33"/>
      <c r="F23" s="33"/>
    </row>
    <row r="24" ht="13.55" customHeight="1">
      <c r="A24" t="s" s="38">
        <v>30</v>
      </c>
      <c r="B24" s="30"/>
      <c r="C24" s="41" cm="1">
        <f t="array" ref="C24">C21*SQRT(2)</f>
        <v>0.848528137423857</v>
      </c>
      <c r="D24" t="s" s="32">
        <v>31</v>
      </c>
      <c r="E24" s="33"/>
      <c r="F24" s="33"/>
    </row>
    <row r="25" ht="13.55" customHeight="1">
      <c r="A25" t="s" s="38">
        <v>32</v>
      </c>
      <c r="B25" s="30"/>
      <c r="C25" s="40" cm="1">
        <f t="array" ref="C25">C24*C22</f>
        <v>1.01823376490863</v>
      </c>
      <c r="D25" s="35"/>
      <c r="E25" s="33"/>
      <c r="F25" s="33"/>
    </row>
    <row r="26" ht="13.55" customHeight="1">
      <c r="A26" t="s" s="38">
        <v>33</v>
      </c>
      <c r="B26" s="30"/>
      <c r="C26" s="40" cm="1">
        <f t="array" ref="C26">C20*C25</f>
        <v>8.145870119269039</v>
      </c>
      <c r="D26" s="35"/>
      <c r="E26" s="33"/>
      <c r="F26" s="33"/>
    </row>
    <row r="27" ht="13.55" customHeight="1">
      <c r="A27" t="s" s="38">
        <v>34</v>
      </c>
      <c r="B27" s="30"/>
      <c r="C27" s="42" cm="1">
        <f t="array" ref="C27">ROUNDUP(C23/C14,0)</f>
        <v>2</v>
      </c>
      <c r="D27" t="s" s="32">
        <v>35</v>
      </c>
      <c r="E27" s="33"/>
      <c r="F27" s="33"/>
    </row>
    <row r="28" ht="13.55" customHeight="1">
      <c r="A28" s="19"/>
      <c r="B28" s="19"/>
      <c r="C28" s="20"/>
      <c r="D28" s="19"/>
      <c r="E28" s="19"/>
      <c r="F28" s="19"/>
    </row>
    <row r="29" ht="22" customHeight="1">
      <c r="A29" t="s" s="21">
        <v>36</v>
      </c>
      <c r="B29" s="22"/>
      <c r="C29" s="23"/>
      <c r="D29" s="22"/>
      <c r="E29" s="22"/>
      <c r="F29" s="24"/>
    </row>
    <row r="30" ht="13.55" customHeight="1">
      <c r="A30" t="s" s="36">
        <v>37</v>
      </c>
      <c r="B30" s="26"/>
      <c r="C30" s="39">
        <v>1.22</v>
      </c>
      <c r="D30" s="37"/>
      <c r="E30" s="18"/>
      <c r="F30" s="18"/>
    </row>
    <row r="31" ht="13.55" customHeight="1">
      <c r="A31" t="s" s="38">
        <v>38</v>
      </c>
      <c r="B31" s="30"/>
      <c r="C31" s="39">
        <v>2.44</v>
      </c>
      <c r="D31" s="35"/>
      <c r="E31" s="33"/>
      <c r="F31" s="33"/>
    </row>
    <row r="32" ht="13.55" customHeight="1">
      <c r="A32" t="s" s="38">
        <v>39</v>
      </c>
      <c r="B32" s="30"/>
      <c r="C32" s="39">
        <v>0.018</v>
      </c>
      <c r="D32" s="35"/>
      <c r="E32" s="33"/>
      <c r="F32" s="33"/>
    </row>
    <row r="33" ht="13.55" customHeight="1">
      <c r="A33" t="s" s="38">
        <v>40</v>
      </c>
      <c r="B33" s="30"/>
      <c r="C33" s="43">
        <v>28000</v>
      </c>
      <c r="D33" s="35"/>
      <c r="E33" s="33"/>
      <c r="F33" s="33"/>
    </row>
    <row r="34" ht="13.55" customHeight="1">
      <c r="A34" t="s" s="38">
        <v>41</v>
      </c>
      <c r="B34" s="30"/>
      <c r="C34" s="39">
        <v>0.05</v>
      </c>
      <c r="D34" s="35"/>
      <c r="E34" s="33"/>
      <c r="F34" s="33"/>
    </row>
    <row r="35" ht="13.55" customHeight="1">
      <c r="A35" t="s" s="38">
        <v>42</v>
      </c>
      <c r="B35" s="30"/>
      <c r="C35" s="39">
        <v>0.003</v>
      </c>
      <c r="D35" s="35"/>
      <c r="E35" s="33"/>
      <c r="F35" s="33"/>
    </row>
    <row r="36" ht="13.55" customHeight="1">
      <c r="A36" t="s" s="38">
        <v>43</v>
      </c>
      <c r="B36" s="30"/>
      <c r="C36" s="31">
        <v>0.1</v>
      </c>
      <c r="D36" s="35"/>
      <c r="E36" s="33"/>
      <c r="F36" s="33"/>
    </row>
    <row r="37" ht="13.55" customHeight="1">
      <c r="A37" t="s" s="38">
        <v>44</v>
      </c>
      <c r="B37" s="30"/>
      <c r="C37" s="42" cm="1">
        <f t="array" ref="C37">INT((C30+C35)/(C34+C35))</f>
        <v>23</v>
      </c>
      <c r="D37" t="s" s="32">
        <v>45</v>
      </c>
      <c r="E37" s="33"/>
      <c r="F37" s="33"/>
    </row>
    <row r="38" ht="13.55" customHeight="1">
      <c r="A38" t="s" s="38">
        <v>46</v>
      </c>
      <c r="B38" s="30"/>
      <c r="C38" s="40" cm="1">
        <f t="array" ref="C38">C37*C31</f>
        <v>56.12</v>
      </c>
      <c r="D38" s="35"/>
      <c r="E38" s="33"/>
      <c r="F38" s="33"/>
    </row>
    <row r="39" ht="13.55" customHeight="1">
      <c r="A39" t="s" s="38">
        <v>47</v>
      </c>
      <c r="B39" s="30"/>
      <c r="C39" s="40" cm="1">
        <f t="array" ref="C39">C30*C31</f>
        <v>2.9768</v>
      </c>
      <c r="D39" s="35"/>
      <c r="E39" s="33"/>
      <c r="F39" s="33"/>
    </row>
    <row r="40" ht="13.55" customHeight="1">
      <c r="A40" s="19"/>
      <c r="B40" s="19"/>
      <c r="C40" s="20"/>
      <c r="D40" s="19"/>
      <c r="E40" s="19"/>
      <c r="F40" s="19"/>
    </row>
    <row r="41" ht="22" customHeight="1">
      <c r="A41" t="s" s="21">
        <v>48</v>
      </c>
      <c r="B41" s="22"/>
      <c r="C41" s="23"/>
      <c r="D41" s="22"/>
      <c r="E41" s="22"/>
      <c r="F41" s="24"/>
    </row>
    <row r="42" ht="13.55" customHeight="1">
      <c r="A42" t="s" s="36">
        <v>49</v>
      </c>
      <c r="B42" s="26"/>
      <c r="C42" s="39">
        <v>0.6</v>
      </c>
      <c r="D42" s="37"/>
      <c r="E42" s="18"/>
      <c r="F42" s="18"/>
    </row>
    <row r="43" ht="13.55" customHeight="1">
      <c r="A43" t="s" s="38">
        <v>50</v>
      </c>
      <c r="B43" s="30"/>
      <c r="C43" s="39">
        <v>1.2</v>
      </c>
      <c r="D43" s="35"/>
      <c r="E43" s="33"/>
      <c r="F43" s="33"/>
    </row>
    <row r="44" ht="13.55" customHeight="1">
      <c r="A44" t="s" s="38">
        <v>51</v>
      </c>
      <c r="B44" s="30"/>
      <c r="C44" s="34">
        <v>100</v>
      </c>
      <c r="D44" s="35"/>
      <c r="E44" s="33"/>
      <c r="F44" s="33"/>
    </row>
    <row r="45" ht="13.55" customHeight="1">
      <c r="A45" t="s" s="38">
        <v>52</v>
      </c>
      <c r="B45" s="30"/>
      <c r="C45" s="40" cm="1">
        <f t="array" ref="C45">C42*C43</f>
        <v>0.72</v>
      </c>
      <c r="D45" t="s" s="32">
        <v>53</v>
      </c>
      <c r="E45" s="33"/>
      <c r="F45" s="33"/>
    </row>
    <row r="46" ht="13.55" customHeight="1">
      <c r="A46" t="s" s="38">
        <v>54</v>
      </c>
      <c r="B46" s="30"/>
      <c r="C46" s="44">
        <v>22.5</v>
      </c>
      <c r="D46" s="35"/>
      <c r="E46" s="33"/>
      <c r="F46" s="33"/>
    </row>
    <row r="47" ht="13.55" customHeight="1">
      <c r="A47" t="s" s="38">
        <v>55</v>
      </c>
      <c r="B47" s="30"/>
      <c r="C47" s="31">
        <v>0.1</v>
      </c>
      <c r="D47" s="35"/>
      <c r="E47" s="33"/>
      <c r="F47" s="33"/>
    </row>
    <row r="48" ht="13.55" customHeight="1">
      <c r="A48" t="s" s="38">
        <v>56</v>
      </c>
      <c r="B48" s="30"/>
      <c r="C48" s="45" cm="1">
        <f t="array" ref="C48">C46*(1-C47)</f>
        <v>20.25</v>
      </c>
      <c r="D48" t="s" s="32">
        <v>57</v>
      </c>
      <c r="E48" s="33"/>
      <c r="F48" s="33"/>
    </row>
    <row r="49" ht="13.55" customHeight="1">
      <c r="A49" t="s" s="38">
        <v>58</v>
      </c>
      <c r="B49" s="30"/>
      <c r="C49" s="46" cm="1">
        <f t="array" ref="C49">C48*C45</f>
        <v>14.58</v>
      </c>
      <c r="D49" s="35"/>
      <c r="E49" s="33"/>
      <c r="F49" s="33"/>
    </row>
    <row r="50" ht="13.55" customHeight="1">
      <c r="A50" t="s" s="38">
        <v>59</v>
      </c>
      <c r="B50" s="30"/>
      <c r="C50" s="47" cm="1">
        <f t="array" ref="C50">C49*$C$6</f>
        <v>22307.4</v>
      </c>
      <c r="D50" s="35"/>
      <c r="E50" s="33"/>
      <c r="F50" s="33"/>
    </row>
    <row r="51" ht="13.55" customHeight="1">
      <c r="A51" t="s" s="38">
        <v>60</v>
      </c>
      <c r="B51" s="30"/>
      <c r="C51" s="34">
        <v>1</v>
      </c>
      <c r="D51" s="35"/>
      <c r="E51" s="33"/>
      <c r="F51" s="33"/>
    </row>
    <row r="52" ht="13.55" customHeight="1">
      <c r="A52" t="s" s="38">
        <v>61</v>
      </c>
      <c r="B52" s="30"/>
      <c r="C52" s="34">
        <v>2</v>
      </c>
      <c r="D52" s="35"/>
      <c r="E52" s="33"/>
      <c r="F52" s="33"/>
    </row>
    <row r="53" ht="13.55" customHeight="1">
      <c r="A53" t="s" s="38">
        <v>62</v>
      </c>
      <c r="B53" s="30"/>
      <c r="C53" s="31">
        <v>0.08</v>
      </c>
      <c r="D53" s="35"/>
      <c r="E53" s="33"/>
      <c r="F53" s="33"/>
    </row>
    <row r="54" ht="13.55" customHeight="1">
      <c r="A54" s="19"/>
      <c r="B54" s="19"/>
      <c r="C54" s="20"/>
      <c r="D54" s="19"/>
      <c r="E54" s="19"/>
      <c r="F54" s="19"/>
    </row>
    <row r="55" ht="22" customHeight="1">
      <c r="A55" t="s" s="21">
        <v>63</v>
      </c>
      <c r="B55" s="22"/>
      <c r="C55" s="23"/>
      <c r="D55" s="22"/>
      <c r="E55" s="22"/>
      <c r="F55" s="24"/>
    </row>
    <row r="56" ht="13.55" customHeight="1">
      <c r="A56" t="s" s="36">
        <v>64</v>
      </c>
      <c r="B56" s="26"/>
      <c r="C56" s="39">
        <v>1.5</v>
      </c>
      <c r="D56" s="37"/>
      <c r="E56" s="18"/>
      <c r="F56" s="18"/>
    </row>
    <row r="57" ht="13.55" customHeight="1">
      <c r="A57" t="s" s="38">
        <v>65</v>
      </c>
      <c r="B57" s="30"/>
      <c r="C57" s="39">
        <v>0.05</v>
      </c>
      <c r="D57" s="35"/>
      <c r="E57" s="33"/>
      <c r="F57" s="33"/>
    </row>
    <row r="58" ht="13.55" customHeight="1">
      <c r="A58" t="s" s="38">
        <v>66</v>
      </c>
      <c r="B58" s="30"/>
      <c r="C58" s="43">
        <v>11000</v>
      </c>
      <c r="D58" s="35"/>
      <c r="E58" s="33"/>
      <c r="F58" s="33"/>
    </row>
    <row r="59" ht="13.55" customHeight="1">
      <c r="A59" t="s" s="38">
        <v>67</v>
      </c>
      <c r="B59" s="30"/>
      <c r="C59" s="31">
        <v>0.1</v>
      </c>
      <c r="D59" s="35"/>
      <c r="E59" s="33"/>
      <c r="F59" s="33"/>
    </row>
    <row r="60" ht="13.55" customHeight="1">
      <c r="A60" s="19"/>
      <c r="B60" s="19"/>
      <c r="C60" s="20"/>
      <c r="D60" s="19"/>
      <c r="E60" s="19"/>
      <c r="F60" s="19"/>
    </row>
    <row r="61" ht="22" customHeight="1">
      <c r="A61" t="s" s="21">
        <v>68</v>
      </c>
      <c r="B61" s="22"/>
      <c r="C61" s="23"/>
      <c r="D61" s="22"/>
      <c r="E61" s="22"/>
      <c r="F61" s="24"/>
    </row>
    <row r="62" ht="13.55" customHeight="1">
      <c r="A62" t="s" s="36">
        <v>69</v>
      </c>
      <c r="B62" s="26"/>
      <c r="C62" s="43">
        <v>20000</v>
      </c>
      <c r="D62" s="37"/>
      <c r="E62" s="18"/>
      <c r="F62" s="18"/>
    </row>
    <row r="63" ht="13.55" customHeight="1">
      <c r="A63" t="s" s="38">
        <v>70</v>
      </c>
      <c r="B63" s="30"/>
      <c r="C63" s="43">
        <v>0</v>
      </c>
      <c r="D63" s="35"/>
      <c r="E63" s="33"/>
      <c r="F63" s="33"/>
    </row>
    <row r="64" ht="13.55" customHeight="1">
      <c r="A64" t="s" s="38">
        <v>71</v>
      </c>
      <c r="B64" s="30"/>
      <c r="C64" s="43">
        <v>15000</v>
      </c>
      <c r="D64" s="35"/>
      <c r="E64" s="33"/>
      <c r="F64" s="33"/>
    </row>
    <row r="65" ht="13.55" customHeight="1">
      <c r="A65" t="s" s="38">
        <v>72</v>
      </c>
      <c r="B65" s="30"/>
      <c r="C65" s="43">
        <v>0</v>
      </c>
      <c r="D65" s="35"/>
      <c r="E65" s="33"/>
      <c r="F65" s="33"/>
    </row>
    <row r="66" ht="13.55" customHeight="1">
      <c r="A66" t="s" s="38">
        <v>73</v>
      </c>
      <c r="B66" s="30"/>
      <c r="C66" s="43">
        <v>0</v>
      </c>
      <c r="D66" s="35"/>
      <c r="E66" s="33"/>
      <c r="F66" s="33"/>
    </row>
    <row r="67" ht="13.55" customHeight="1">
      <c r="A67" t="s" s="38">
        <v>74</v>
      </c>
      <c r="B67" s="30"/>
      <c r="C67" s="43">
        <v>180000</v>
      </c>
      <c r="D67" s="35"/>
      <c r="E67" s="33"/>
      <c r="F67" s="33"/>
    </row>
    <row r="68" ht="13.55" customHeight="1">
      <c r="A68" s="19"/>
      <c r="B68" s="19"/>
      <c r="C68" s="20"/>
      <c r="D68" s="19"/>
      <c r="E68" s="19"/>
      <c r="F68" s="19"/>
    </row>
    <row r="69" ht="22" customHeight="1">
      <c r="A69" t="s" s="21">
        <v>75</v>
      </c>
      <c r="B69" s="22"/>
      <c r="C69" s="23"/>
      <c r="D69" s="22"/>
      <c r="E69" s="22"/>
      <c r="F69" s="24"/>
    </row>
    <row r="70" ht="13.55" customHeight="1">
      <c r="A70" t="s" s="36">
        <v>76</v>
      </c>
      <c r="B70" s="26"/>
      <c r="C70" s="31">
        <v>0.5</v>
      </c>
      <c r="D70" t="s" s="28">
        <v>77</v>
      </c>
      <c r="E70" s="18"/>
      <c r="F70" s="18"/>
    </row>
    <row r="71" ht="13.55" customHeight="1">
      <c r="A71" t="s" s="38">
        <v>78</v>
      </c>
      <c r="B71" s="30"/>
      <c r="C71" s="48">
        <v>4</v>
      </c>
      <c r="D71" s="35"/>
      <c r="E71" s="33"/>
      <c r="F71" s="33"/>
    </row>
    <row r="72" ht="13.55" customHeight="1">
      <c r="A72" t="s" s="38">
        <v>79</v>
      </c>
      <c r="B72" s="30"/>
      <c r="C72" s="44">
        <v>30</v>
      </c>
      <c r="D72" s="35"/>
      <c r="E72" s="33"/>
      <c r="F72" s="33"/>
    </row>
    <row r="73" ht="13.55" customHeight="1">
      <c r="A73" t="s" s="38">
        <v>80</v>
      </c>
      <c r="B73" s="30"/>
      <c r="C73" s="34">
        <v>2</v>
      </c>
      <c r="D73" s="35"/>
      <c r="E73" s="33"/>
      <c r="F73" s="33"/>
    </row>
    <row r="74" ht="13.55" customHeight="1">
      <c r="A74" t="s" s="38">
        <v>81</v>
      </c>
      <c r="B74" s="30"/>
      <c r="C74" s="43">
        <v>200000</v>
      </c>
      <c r="D74" s="35"/>
      <c r="E74" s="33"/>
      <c r="F74" s="33"/>
    </row>
    <row r="75" ht="13.55" customHeight="1">
      <c r="A75" t="s" s="38">
        <v>82</v>
      </c>
      <c r="B75" s="30"/>
      <c r="C75" s="48">
        <v>20</v>
      </c>
      <c r="D75" s="35"/>
      <c r="E75" s="33"/>
      <c r="F75" s="33"/>
    </row>
    <row r="76" ht="13.55" customHeight="1">
      <c r="A76" t="s" s="38">
        <v>83</v>
      </c>
      <c r="B76" s="30"/>
      <c r="C76" s="46" cm="1">
        <f t="array" ref="C76">C71*C72</f>
        <v>120</v>
      </c>
      <c r="D76" s="35"/>
      <c r="E76" s="33"/>
      <c r="F76" s="33"/>
    </row>
    <row r="77" ht="13.55" customHeight="1">
      <c r="A77" t="s" s="38">
        <v>84</v>
      </c>
      <c r="B77" s="30"/>
      <c r="C77" s="47" cm="1">
        <f t="array" ref="C77">C76*C6</f>
        <v>183600</v>
      </c>
      <c r="D77" s="35"/>
      <c r="E77" s="33"/>
      <c r="F77" s="33"/>
    </row>
  </sheetData>
  <mergeCells count="11">
    <mergeCell ref="A41:F41"/>
    <mergeCell ref="A2:F2"/>
    <mergeCell ref="A10:F10"/>
    <mergeCell ref="A69:F69"/>
    <mergeCell ref="A19:F19"/>
    <mergeCell ref="A1:F1"/>
    <mergeCell ref="A5:F5"/>
    <mergeCell ref="A61:F61"/>
    <mergeCell ref="D3:F3"/>
    <mergeCell ref="A55:F55"/>
    <mergeCell ref="A29:F29"/>
  </mergeCells>
  <pageMargins left="0.75" right="0.75" top="1" bottom="1" header="0.5" footer="0.5"/>
  <pageSetup firstPageNumber="1" fitToHeight="1" fitToWidth="1" scale="100" useFirstPageNumber="0" orientation="portrait" pageOrder="downThenOver"/>
  <headerFooter>
    <oddHeader>&amp;L&amp;"Calibri,Regular"&amp;11&amp;K000000Acustización home studio — Insumos</oddHeader>
    <oddFooter>&amp;R&amp;"Calibri,Regular"&amp;11&amp;K000000Pág. &amp;P / &amp;N</oddFooter>
  </headerFooter>
  <drawing r:id="rId1"/>
  <legacyDrawing r:id="rId2"/>
</worksheet>
</file>

<file path=xl/worksheets/sheet3.xml><?xml version="1.0" encoding="utf-8"?>
<worksheet xmlns:r="http://schemas.openxmlformats.org/officeDocument/2006/relationships" xmlns="http://schemas.openxmlformats.org/spreadsheetml/2006/main">
  <sheetPr>
    <pageSetUpPr fitToPage="1"/>
  </sheetPr>
  <dimension ref="A1:G45"/>
  <sheetViews>
    <sheetView workbookViewId="0" showGridLines="0" defaultGridColor="1"/>
  </sheetViews>
  <sheetFormatPr defaultColWidth="8.83333" defaultRowHeight="15" customHeight="1" outlineLevelRow="0" outlineLevelCol="0"/>
  <cols>
    <col min="1" max="1" width="38" style="49" customWidth="1"/>
    <col min="2" max="2" width="22" style="49" customWidth="1"/>
    <col min="3" max="3" width="16" style="49" customWidth="1"/>
    <col min="4" max="4" width="18" style="49" customWidth="1"/>
    <col min="5" max="5" width="16" style="49" customWidth="1"/>
    <col min="6" max="6" width="14" style="49" customWidth="1"/>
    <col min="7" max="7" width="62" style="49" customWidth="1"/>
    <col min="8" max="16384" width="8.85156" style="49" customWidth="1"/>
  </cols>
  <sheetData>
    <row r="1" ht="32" customHeight="1">
      <c r="A1" t="s" s="7">
        <v>86</v>
      </c>
      <c r="B1" s="8"/>
      <c r="C1" s="8"/>
      <c r="D1" s="8"/>
      <c r="E1" s="8"/>
      <c r="F1" s="8"/>
      <c r="G1" s="9"/>
    </row>
    <row r="2" ht="13.75" customHeight="1">
      <c r="A2" t="s" s="50">
        <v>87</v>
      </c>
      <c r="B2" s="12"/>
      <c r="C2" s="12"/>
      <c r="D2" s="12"/>
      <c r="E2" s="12"/>
      <c r="F2" s="12"/>
      <c r="G2" s="13"/>
    </row>
    <row r="3" ht="13.55" customHeight="1">
      <c r="A3" s="51"/>
      <c r="B3" s="51"/>
      <c r="C3" s="51"/>
      <c r="D3" s="51"/>
      <c r="E3" s="51"/>
      <c r="F3" s="51"/>
      <c r="G3" s="51"/>
    </row>
    <row r="4" ht="22" customHeight="1">
      <c r="A4" t="s" s="21">
        <v>88</v>
      </c>
      <c r="B4" s="22"/>
      <c r="C4" s="22"/>
      <c r="D4" s="22"/>
      <c r="E4" s="22"/>
      <c r="F4" s="22"/>
      <c r="G4" s="24"/>
    </row>
    <row r="5" ht="13.75" customHeight="1">
      <c r="A5" t="s" s="52">
        <v>89</v>
      </c>
      <c r="B5" t="s" s="53">
        <v>90</v>
      </c>
      <c r="C5" t="s" s="53">
        <v>91</v>
      </c>
      <c r="D5" t="s" s="53">
        <v>92</v>
      </c>
      <c r="E5" t="s" s="53">
        <v>93</v>
      </c>
      <c r="F5" t="s" s="53">
        <v>94</v>
      </c>
      <c r="G5" t="s" s="54">
        <v>95</v>
      </c>
    </row>
    <row r="6" ht="13.55" customHeight="1">
      <c r="A6" t="s" s="55">
        <v>96</v>
      </c>
      <c r="B6" s="42" cm="1">
        <f t="array" ref="B6">'Insumos'!$C$11</f>
        <v>12</v>
      </c>
      <c r="C6" s="41" cm="1">
        <f t="array" ref="C6">2*'Insumos'!$C$13</f>
        <v>2.4</v>
      </c>
      <c r="D6" s="41" cm="1">
        <f t="array" ref="D6">(2+'Insumos'!$C$15)*('Insumos'!$C$12-2*'Insumos'!$C$32)</f>
        <v>1.692</v>
      </c>
      <c r="E6" s="41" cm="1">
        <f t="array" ref="E6">C6+D6</f>
        <v>4.092</v>
      </c>
      <c r="F6" s="40" cm="1">
        <f t="array" ref="F6">B6*E6</f>
        <v>49.104</v>
      </c>
      <c r="G6" t="s" s="56">
        <v>97</v>
      </c>
    </row>
    <row r="7" ht="13.55" customHeight="1">
      <c r="A7" t="s" s="57">
        <v>98</v>
      </c>
      <c r="B7" s="42" cm="1">
        <f t="array" ref="B7">'Insumos'!$C$20</f>
        <v>8</v>
      </c>
      <c r="C7" s="41" cm="1">
        <f t="array" ref="C7">2*'Insumos'!$C$22*'Insumos'!$C$27</f>
        <v>4.8</v>
      </c>
      <c r="D7" s="41" cm="1">
        <f t="array" ref="D7">2*('Insumos'!$C$24-2*'Insumos'!$C$32)*'Insumos'!$C$27</f>
        <v>3.25011254969543</v>
      </c>
      <c r="E7" s="41" cm="1">
        <f t="array" ref="E7">C7+D7</f>
        <v>8.050112549695431</v>
      </c>
      <c r="F7" s="40" cm="1">
        <f t="array" ref="F7">B7*E7</f>
        <v>64.4009003975634</v>
      </c>
      <c r="G7" t="s" s="58">
        <v>99</v>
      </c>
    </row>
    <row r="8" ht="13.55" customHeight="1">
      <c r="A8" t="s" s="59">
        <v>100</v>
      </c>
      <c r="B8" s="60"/>
      <c r="C8" s="60"/>
      <c r="D8" s="60"/>
      <c r="E8" s="61"/>
      <c r="F8" s="62" cm="1">
        <f t="array" ref="F8">F6+F7</f>
        <v>113.504900397563</v>
      </c>
      <c r="G8" s="35"/>
    </row>
    <row r="9" ht="13.55" customHeight="1">
      <c r="A9" s="33"/>
      <c r="B9" s="33"/>
      <c r="C9" s="63"/>
      <c r="D9" s="33"/>
      <c r="E9" s="33"/>
      <c r="F9" s="60"/>
      <c r="G9" s="33"/>
    </row>
    <row r="10" ht="13.55" customHeight="1">
      <c r="A10" t="s" s="38">
        <v>43</v>
      </c>
      <c r="B10" s="30"/>
      <c r="C10" s="64" cm="1">
        <f t="array" ref="C10">'Insumos'!$C$36</f>
        <v>0.1</v>
      </c>
      <c r="D10" s="35"/>
      <c r="E10" s="33"/>
      <c r="F10" s="33"/>
      <c r="G10" s="33"/>
    </row>
    <row r="11" ht="15.35" customHeight="1">
      <c r="A11" t="s" s="38">
        <v>101</v>
      </c>
      <c r="B11" s="30"/>
      <c r="C11" s="65" cm="1">
        <f t="array" ref="C11">F8*(1+'Insumos'!$C$36)</f>
        <v>124.855390437319</v>
      </c>
      <c r="D11" s="35"/>
      <c r="E11" s="33"/>
      <c r="F11" s="33"/>
      <c r="G11" s="33"/>
    </row>
    <row r="12" ht="13.55" customHeight="1">
      <c r="A12" t="s" s="38">
        <v>102</v>
      </c>
      <c r="B12" s="30"/>
      <c r="C12" s="40" cm="1">
        <f t="array" ref="C12">'Insumos'!$C$38</f>
        <v>56.12</v>
      </c>
      <c r="D12" s="35"/>
      <c r="E12" s="33"/>
      <c r="F12" s="33"/>
      <c r="G12" s="33"/>
    </row>
    <row r="13" ht="17.9" customHeight="1">
      <c r="A13" t="s" s="38">
        <v>103</v>
      </c>
      <c r="B13" s="30"/>
      <c r="C13" s="66" cm="1">
        <f t="array" ref="C13">ROUNDUP(C11/C12,0)</f>
        <v>3</v>
      </c>
      <c r="D13" s="35"/>
      <c r="E13" s="33"/>
      <c r="F13" s="33"/>
      <c r="G13" s="33"/>
    </row>
    <row r="14" ht="13.55" customHeight="1">
      <c r="A14" t="s" s="38">
        <v>104</v>
      </c>
      <c r="B14" s="30"/>
      <c r="C14" s="40" cm="1">
        <f t="array" ref="C14">C13*C12-C11</f>
        <v>43.504609562681</v>
      </c>
      <c r="D14" s="35"/>
      <c r="E14" s="33"/>
      <c r="F14" s="33"/>
      <c r="G14" s="33"/>
    </row>
    <row r="15" ht="13.55" customHeight="1">
      <c r="A15" t="s" s="38">
        <v>105</v>
      </c>
      <c r="B15" s="30"/>
      <c r="C15" s="67" cm="1">
        <f t="array" ref="C15">C13*'Insumos'!$C$33</f>
        <v>84000</v>
      </c>
      <c r="D15" s="35"/>
      <c r="E15" s="33"/>
      <c r="F15" s="33"/>
      <c r="G15" s="33"/>
    </row>
    <row r="16" ht="13.55" customHeight="1">
      <c r="A16" s="19"/>
      <c r="B16" s="19"/>
      <c r="C16" s="20"/>
      <c r="D16" s="19"/>
      <c r="E16" s="19"/>
      <c r="F16" s="19"/>
      <c r="G16" s="19"/>
    </row>
    <row r="17" ht="22" customHeight="1">
      <c r="A17" t="s" s="21">
        <v>106</v>
      </c>
      <c r="B17" s="22"/>
      <c r="C17" s="22"/>
      <c r="D17" s="22"/>
      <c r="E17" s="22"/>
      <c r="F17" s="22"/>
      <c r="G17" s="24"/>
    </row>
    <row r="18" ht="13.75" customHeight="1">
      <c r="A18" t="s" s="52">
        <v>107</v>
      </c>
      <c r="B18" t="s" s="53">
        <v>108</v>
      </c>
      <c r="C18" t="s" s="53">
        <v>109</v>
      </c>
      <c r="D18" t="s" s="53">
        <v>110</v>
      </c>
      <c r="E18" t="s" s="53">
        <v>111</v>
      </c>
      <c r="F18" t="s" s="53">
        <v>112</v>
      </c>
      <c r="G18" t="s" s="54">
        <v>95</v>
      </c>
    </row>
    <row r="19" ht="13.55" customHeight="1">
      <c r="A19" t="s" s="55">
        <v>113</v>
      </c>
      <c r="B19" s="42" cm="1">
        <f t="array" ref="B19">'Insumos'!$C$11</f>
        <v>12</v>
      </c>
      <c r="C19" s="42" cm="1">
        <f t="array" ref="C19">'Insumos'!$C$51</f>
        <v>1</v>
      </c>
      <c r="D19" s="40" cm="1">
        <f t="array" ref="D19">'Insumos'!$C$11*'Insumos'!$C$12*'Insumos'!$C$13*'Insumos'!$C$51</f>
        <v>8.640000000000001</v>
      </c>
      <c r="E19" s="40" cm="1">
        <f t="array" ref="E19">D19</f>
        <v>8.640000000000001</v>
      </c>
      <c r="F19" s="42" cm="1">
        <f t="array" ref="F19">ROUNDUP(E19/'Insumos'!$C$45,0)</f>
        <v>12</v>
      </c>
      <c r="G19" t="s" s="68">
        <v>114</v>
      </c>
    </row>
    <row r="20" ht="13.55" customHeight="1">
      <c r="A20" t="s" s="57">
        <v>115</v>
      </c>
      <c r="B20" s="42" cm="1">
        <f t="array" ref="B20">'Insumos'!$C$20</f>
        <v>8</v>
      </c>
      <c r="C20" s="42" cm="1">
        <f t="array" ref="C20">'Insumos'!$C$52</f>
        <v>2</v>
      </c>
      <c r="D20" s="40" cm="1">
        <f t="array" ref="D20">'Insumos'!$C$20*'Insumos'!$C$24*'Insumos'!$C$22*'Insumos'!$C$52</f>
        <v>16.2917402385381</v>
      </c>
      <c r="E20" s="40" cm="1">
        <f t="array" ref="E20">D20*(1+'Insumos'!$C$53)</f>
        <v>17.5950794576211</v>
      </c>
      <c r="F20" s="42" cm="1">
        <f t="array" ref="F20">ROUNDUP(E20/'Insumos'!$C$45,0)</f>
        <v>25</v>
      </c>
      <c r="G20" t="s" s="58">
        <v>116</v>
      </c>
    </row>
    <row r="21" ht="13.55" customHeight="1">
      <c r="A21" t="s" s="59">
        <v>117</v>
      </c>
      <c r="B21" s="60"/>
      <c r="C21" s="69"/>
      <c r="D21" s="62" cm="1">
        <f t="array" ref="D21">D19+D20</f>
        <v>24.9317402385381</v>
      </c>
      <c r="E21" s="62" cm="1">
        <f t="array" ref="E21">E19+E20</f>
        <v>26.2350794576211</v>
      </c>
      <c r="F21" s="70" cm="1">
        <f t="array" ref="F21">F19+F20</f>
        <v>37</v>
      </c>
      <c r="G21" s="35"/>
    </row>
    <row r="22" ht="13.75" customHeight="1">
      <c r="A22" t="s" s="38">
        <v>118</v>
      </c>
      <c r="B22" s="30"/>
      <c r="C22" s="67" cm="1">
        <f t="array" ref="C22">F21*'Insumos'!$C$45*'Insumos'!$C$48*'Insumos'!$C$6</f>
        <v>825373.8</v>
      </c>
      <c r="D22" s="71">
        <v>0</v>
      </c>
      <c r="E22" s="60"/>
      <c r="F22" s="60"/>
      <c r="G22" s="33"/>
    </row>
    <row r="23" ht="13.55" customHeight="1">
      <c r="A23" s="19"/>
      <c r="B23" s="19"/>
      <c r="C23" s="20"/>
      <c r="D23" s="19"/>
      <c r="E23" s="19"/>
      <c r="F23" s="19"/>
      <c r="G23" s="19"/>
    </row>
    <row r="24" ht="22" customHeight="1">
      <c r="A24" t="s" s="21">
        <v>119</v>
      </c>
      <c r="B24" s="22"/>
      <c r="C24" s="22"/>
      <c r="D24" s="22"/>
      <c r="E24" s="22"/>
      <c r="F24" s="22"/>
      <c r="G24" s="24"/>
    </row>
    <row r="25" ht="13.75" customHeight="1">
      <c r="A25" t="s" s="52">
        <v>89</v>
      </c>
      <c r="B25" t="s" s="53">
        <v>90</v>
      </c>
      <c r="C25" t="s" s="53">
        <v>120</v>
      </c>
      <c r="D25" t="s" s="53">
        <v>121</v>
      </c>
      <c r="E25" t="s" s="53">
        <v>122</v>
      </c>
      <c r="F25" t="s" s="53">
        <v>123</v>
      </c>
      <c r="G25" t="s" s="72">
        <v>124</v>
      </c>
    </row>
    <row r="26" ht="13.55" customHeight="1">
      <c r="A26" t="s" s="55">
        <v>125</v>
      </c>
      <c r="B26" s="42" cm="1">
        <f t="array" ref="B26">'Insumos'!$C$11</f>
        <v>12</v>
      </c>
      <c r="C26" s="41" cm="1">
        <f t="array" ref="C26">'Insumos'!$C$12+2*'Insumos'!$C$14+2*'Insumos'!$C$57</f>
        <v>0.8</v>
      </c>
      <c r="D26" s="41" cm="1">
        <f t="array" ref="D26">'Insumos'!$C$13+2*'Insumos'!$C$14+2*'Insumos'!$C$57</f>
        <v>1.4</v>
      </c>
      <c r="E26" s="40" cm="1">
        <f t="array" ref="E26">C26*D26</f>
        <v>1.12</v>
      </c>
      <c r="F26" s="40" cm="1">
        <f t="array" ref="F26">B26*E26</f>
        <v>13.44</v>
      </c>
      <c r="G26" s="40" cm="1">
        <f t="array" ref="G26">B26*D26</f>
        <v>16.8</v>
      </c>
    </row>
    <row r="27" ht="13.55" customHeight="1">
      <c r="A27" t="s" s="57">
        <v>126</v>
      </c>
      <c r="B27" s="42" cm="1">
        <f t="array" ref="B27">'Insumos'!$C$20</f>
        <v>8</v>
      </c>
      <c r="C27" s="41" cm="1">
        <f t="array" ref="C27">'Insumos'!$C$24+2*'Insumos'!$C$23+2*'Insumos'!$C$57</f>
        <v>1.14852813742386</v>
      </c>
      <c r="D27" s="41" cm="1">
        <f t="array" ref="D27">'Insumos'!$C$22+2*'Insumos'!$C$23+2*'Insumos'!$C$57</f>
        <v>1.5</v>
      </c>
      <c r="E27" s="40" cm="1">
        <f t="array" ref="E27">C27*D27</f>
        <v>1.72279220613579</v>
      </c>
      <c r="F27" s="40" cm="1">
        <f t="array" ref="F27">B27*E27</f>
        <v>13.7823376490863</v>
      </c>
      <c r="G27" s="40" cm="1">
        <f t="array" ref="G27">B27*D27</f>
        <v>12</v>
      </c>
    </row>
    <row r="28" ht="13.55" customHeight="1">
      <c r="A28" t="s" s="59">
        <v>127</v>
      </c>
      <c r="B28" s="60"/>
      <c r="C28" s="60"/>
      <c r="D28" s="60"/>
      <c r="E28" s="61"/>
      <c r="F28" s="73" cm="1">
        <f t="array" ref="F28">F26+F27</f>
        <v>27.2223376490863</v>
      </c>
      <c r="G28" s="73" cm="1">
        <f t="array" ref="G28">G26+G27</f>
        <v>28.8</v>
      </c>
    </row>
    <row r="29" ht="13.55" customHeight="1">
      <c r="A29" s="33"/>
      <c r="B29" s="33"/>
      <c r="C29" s="63"/>
      <c r="D29" s="33"/>
      <c r="E29" s="33"/>
      <c r="F29" s="60"/>
      <c r="G29" s="60"/>
    </row>
    <row r="30" ht="13.55" customHeight="1">
      <c r="A30" t="s" s="38">
        <v>128</v>
      </c>
      <c r="B30" s="30"/>
      <c r="C30" s="62" cm="1">
        <f t="array" ref="C30">F28*(1+'Insumos'!$C$59)</f>
        <v>29.9445714139949</v>
      </c>
      <c r="D30" s="35"/>
      <c r="E30" s="33"/>
      <c r="F30" s="33"/>
      <c r="G30" s="33"/>
    </row>
    <row r="31" ht="15.35" customHeight="1">
      <c r="A31" t="s" s="38">
        <v>129</v>
      </c>
      <c r="B31" s="30"/>
      <c r="C31" s="65" cm="1">
        <f t="array" ref="C31">G28*(1+'Insumos'!$C$59)</f>
        <v>31.68</v>
      </c>
      <c r="D31" t="s" s="58">
        <v>130</v>
      </c>
      <c r="E31" s="33"/>
      <c r="F31" s="33"/>
      <c r="G31" s="33"/>
    </row>
    <row r="32" ht="13.55" customHeight="1">
      <c r="A32" t="s" s="38">
        <v>131</v>
      </c>
      <c r="B32" s="30"/>
      <c r="C32" s="40" cm="1">
        <f t="array" ref="C32">C31*'Insumos'!$C$56</f>
        <v>47.52</v>
      </c>
      <c r="D32" s="35"/>
      <c r="E32" s="33"/>
      <c r="F32" s="33"/>
      <c r="G32" s="33"/>
    </row>
    <row r="33" ht="13.75" customHeight="1">
      <c r="A33" t="s" s="38">
        <v>132</v>
      </c>
      <c r="B33" s="30"/>
      <c r="C33" s="67" cm="1">
        <f t="array" ref="C33">C31*'Insumos'!$C$58</f>
        <v>348480</v>
      </c>
      <c r="D33" t="str" s="74" cm="1">
        <f t="array" ref="D33">IF('Insumos'!$C$58=0,"⚠ falta precio del metro de tela","ok")</f>
        <v>ok</v>
      </c>
      <c r="E33" s="33"/>
      <c r="F33" s="33"/>
      <c r="G33" s="33"/>
    </row>
    <row r="34" ht="13.55" customHeight="1">
      <c r="A34" s="19"/>
      <c r="B34" s="19"/>
      <c r="C34" s="20"/>
      <c r="D34" s="19"/>
      <c r="E34" s="19"/>
      <c r="F34" s="19"/>
      <c r="G34" s="19"/>
    </row>
    <row r="35" ht="22" customHeight="1">
      <c r="A35" t="s" s="21">
        <v>134</v>
      </c>
      <c r="B35" s="22"/>
      <c r="C35" s="22"/>
      <c r="D35" s="22"/>
      <c r="E35" s="22"/>
      <c r="F35" s="22"/>
      <c r="G35" s="24"/>
    </row>
    <row r="36" ht="13.75" customHeight="1">
      <c r="A36" t="s" s="52">
        <v>135</v>
      </c>
      <c r="B36" t="s" s="75">
        <v>136</v>
      </c>
      <c r="C36" t="s" s="53">
        <v>137</v>
      </c>
      <c r="D36" t="s" s="53">
        <v>138</v>
      </c>
      <c r="E36" t="s" s="53">
        <v>139</v>
      </c>
      <c r="F36" s="76"/>
      <c r="G36" s="77"/>
    </row>
    <row r="37" ht="13.55" customHeight="1">
      <c r="A37" t="s" s="78">
        <v>140</v>
      </c>
      <c r="B37" t="s" s="55">
        <v>141</v>
      </c>
      <c r="C37" s="42" cm="1">
        <f t="array" ref="C37">C13</f>
        <v>3</v>
      </c>
      <c r="D37" s="47" cm="1">
        <f t="array" ref="D37">'Insumos'!$C$33</f>
        <v>28000</v>
      </c>
      <c r="E37" s="47" cm="1">
        <f t="array" ref="E37">C15</f>
        <v>84000</v>
      </c>
      <c r="F37" s="37"/>
      <c r="G37" s="18"/>
    </row>
    <row r="38" ht="13.55" customHeight="1">
      <c r="A38" t="s" s="79">
        <v>142</v>
      </c>
      <c r="B38" t="s" s="57">
        <v>143</v>
      </c>
      <c r="C38" s="42" cm="1">
        <f t="array" ref="C38">F21</f>
        <v>37</v>
      </c>
      <c r="D38" s="47" cm="1">
        <f t="array" ref="D38">'Insumos'!$C$50</f>
        <v>22307.4</v>
      </c>
      <c r="E38" s="47" cm="1">
        <f t="array" ref="E38">C22</f>
        <v>825373.8</v>
      </c>
      <c r="F38" s="80">
        <v>0</v>
      </c>
      <c r="G38" s="33"/>
    </row>
    <row r="39" ht="13.55" customHeight="1">
      <c r="A39" t="s" s="79">
        <v>144</v>
      </c>
      <c r="B39" t="s" s="57">
        <v>145</v>
      </c>
      <c r="C39" s="40" cm="1">
        <f t="array" ref="C39">C31</f>
        <v>31.68</v>
      </c>
      <c r="D39" s="47" cm="1">
        <f t="array" ref="D39">'Insumos'!$C$58</f>
        <v>11000</v>
      </c>
      <c r="E39" s="47" cm="1">
        <f t="array" ref="E39">C33</f>
        <v>348480</v>
      </c>
      <c r="F39" s="35"/>
      <c r="G39" s="33"/>
    </row>
    <row r="40" ht="13.55" customHeight="1">
      <c r="A40" t="s" s="79">
        <v>146</v>
      </c>
      <c r="B40" t="s" s="79">
        <v>147</v>
      </c>
      <c r="C40" s="81">
        <v>1</v>
      </c>
      <c r="D40" s="47" cm="1">
        <f t="array" ref="D40">'Insumos'!$C$62</f>
        <v>20000</v>
      </c>
      <c r="E40" s="47" cm="1">
        <f t="array" ref="E40">'Insumos'!$C$62</f>
        <v>20000</v>
      </c>
      <c r="F40" s="35"/>
      <c r="G40" s="33"/>
    </row>
    <row r="41" ht="13.55" customHeight="1">
      <c r="A41" t="s" s="79">
        <v>148</v>
      </c>
      <c r="B41" t="s" s="79">
        <v>147</v>
      </c>
      <c r="C41" s="82">
        <v>1</v>
      </c>
      <c r="D41" s="47" cm="1">
        <f t="array" ref="D41">'Insumos'!$C$63</f>
        <v>0</v>
      </c>
      <c r="E41" s="47" cm="1">
        <f t="array" ref="E41">'Insumos'!$C$63</f>
        <v>0</v>
      </c>
      <c r="F41" s="35"/>
      <c r="G41" s="33"/>
    </row>
    <row r="42" ht="13.55" customHeight="1">
      <c r="A42" t="s" s="79">
        <v>149</v>
      </c>
      <c r="B42" t="s" s="79">
        <v>147</v>
      </c>
      <c r="C42" s="82">
        <v>1</v>
      </c>
      <c r="D42" s="47" cm="1">
        <f t="array" ref="D42">'Insumos'!$C$64</f>
        <v>15000</v>
      </c>
      <c r="E42" s="47" cm="1">
        <f t="array" ref="E42">'Insumos'!$C$64</f>
        <v>15000</v>
      </c>
      <c r="F42" s="35"/>
      <c r="G42" s="33"/>
    </row>
    <row r="43" ht="13.55" customHeight="1">
      <c r="A43" t="s" s="79">
        <v>150</v>
      </c>
      <c r="B43" t="s" s="79">
        <v>147</v>
      </c>
      <c r="C43" s="82">
        <v>1</v>
      </c>
      <c r="D43" s="47" cm="1">
        <f t="array" ref="D43">'Insumos'!$C$65</f>
        <v>0</v>
      </c>
      <c r="E43" s="47" cm="1">
        <f t="array" ref="E43">'Insumos'!$C$65</f>
        <v>0</v>
      </c>
      <c r="F43" s="35"/>
      <c r="G43" s="33"/>
    </row>
    <row r="44" ht="13.55" customHeight="1">
      <c r="A44" t="s" s="83">
        <v>151</v>
      </c>
      <c r="B44" t="s" s="83">
        <v>147</v>
      </c>
      <c r="C44" s="84">
        <v>1</v>
      </c>
      <c r="D44" s="47" cm="1">
        <f t="array" ref="D44">'Insumos'!$C$66</f>
        <v>0</v>
      </c>
      <c r="E44" s="47" cm="1">
        <f t="array" ref="E44">'Insumos'!$C$66</f>
        <v>0</v>
      </c>
      <c r="F44" s="35"/>
      <c r="G44" s="33"/>
    </row>
    <row r="45" ht="16.1" customHeight="1">
      <c r="A45" t="s" s="85">
        <v>152</v>
      </c>
      <c r="B45" s="86"/>
      <c r="C45" s="86"/>
      <c r="D45" s="87"/>
      <c r="E45" s="88" cm="1">
        <f t="array" ref="E45">E37+E38+E39+E40+E41+E42+E43+E44</f>
        <v>1292853.8</v>
      </c>
      <c r="F45" s="35"/>
      <c r="G45" s="33"/>
    </row>
  </sheetData>
  <mergeCells count="6">
    <mergeCell ref="A1:G1"/>
    <mergeCell ref="A17:G17"/>
    <mergeCell ref="A35:G35"/>
    <mergeCell ref="A4:G4"/>
    <mergeCell ref="A24:G24"/>
    <mergeCell ref="A2:G2"/>
  </mergeCell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F22"/>
  <sheetViews>
    <sheetView workbookViewId="0" showGridLines="0" defaultGridColor="1"/>
  </sheetViews>
  <sheetFormatPr defaultColWidth="8.83333" defaultRowHeight="15" customHeight="1" outlineLevelRow="0" outlineLevelCol="0"/>
  <cols>
    <col min="1" max="1" width="36" style="89" customWidth="1"/>
    <col min="2" max="3" width="14" style="89" customWidth="1"/>
    <col min="4" max="4" width="22" style="89" customWidth="1"/>
    <col min="5" max="5" width="20" style="89" customWidth="1"/>
    <col min="6" max="6" width="48" style="89" customWidth="1"/>
    <col min="7" max="16384" width="8.85156" style="89" customWidth="1"/>
  </cols>
  <sheetData>
    <row r="1" ht="32" customHeight="1">
      <c r="A1" t="s" s="7">
        <v>154</v>
      </c>
      <c r="B1" s="8"/>
      <c r="C1" s="8"/>
      <c r="D1" s="8"/>
      <c r="E1" s="8"/>
      <c r="F1" s="9"/>
    </row>
    <row r="2" ht="13.75" customHeight="1">
      <c r="A2" t="s" s="50">
        <v>155</v>
      </c>
      <c r="B2" s="12"/>
      <c r="C2" s="12"/>
      <c r="D2" s="12"/>
      <c r="E2" s="12"/>
      <c r="F2" s="13"/>
    </row>
    <row r="3" ht="13.55" customHeight="1">
      <c r="A3" s="51"/>
      <c r="B3" s="51"/>
      <c r="C3" s="51"/>
      <c r="D3" s="51"/>
      <c r="E3" s="51"/>
      <c r="F3" s="51"/>
    </row>
    <row r="4" ht="22" customHeight="1">
      <c r="A4" t="s" s="21">
        <v>156</v>
      </c>
      <c r="B4" s="22"/>
      <c r="C4" s="22"/>
      <c r="D4" s="22"/>
      <c r="E4" s="22"/>
      <c r="F4" s="24"/>
    </row>
    <row r="5" ht="13.75" customHeight="1">
      <c r="A5" t="s" s="52">
        <v>89</v>
      </c>
      <c r="B5" t="s" s="53">
        <v>157</v>
      </c>
      <c r="C5" t="s" s="53">
        <v>137</v>
      </c>
      <c r="D5" t="s" s="53">
        <v>158</v>
      </c>
      <c r="E5" t="s" s="53">
        <v>159</v>
      </c>
      <c r="F5" t="s" s="54">
        <v>95</v>
      </c>
    </row>
    <row r="6" ht="13.55" customHeight="1">
      <c r="A6" t="s" s="55">
        <v>160</v>
      </c>
      <c r="B6" s="41" cm="1">
        <f t="array" ref="B6">'Insumos'!$C$13</f>
        <v>1.2</v>
      </c>
      <c r="C6" s="42" cm="1">
        <f t="array" ref="C6">'Insumos'!$C$11*2</f>
        <v>24</v>
      </c>
      <c r="D6" s="42" cm="1">
        <f t="array" ref="D6">INT('Insumos'!$C$31/B6)</f>
        <v>2</v>
      </c>
      <c r="E6" s="42" cm="1">
        <f t="array" ref="E6">ROUNDUP(C6/D6,0)</f>
        <v>12</v>
      </c>
      <c r="F6" t="s" s="68">
        <v>161</v>
      </c>
    </row>
    <row r="7" ht="13.55" customHeight="1">
      <c r="A7" t="s" s="57">
        <v>162</v>
      </c>
      <c r="B7" s="41" cm="1">
        <f t="array" ref="B7">'Insumos'!$C$12-2*'Insumos'!$C$32</f>
        <v>0.5639999999999999</v>
      </c>
      <c r="C7" s="42" cm="1">
        <f t="array" ref="C7">'Insumos'!$C$11*(2+'Insumos'!$C$15)</f>
        <v>36</v>
      </c>
      <c r="D7" s="42" cm="1">
        <f t="array" ref="D7">INT('Insumos'!$C$31/B7)</f>
        <v>4</v>
      </c>
      <c r="E7" s="42" cm="1">
        <f t="array" ref="E7">ROUNDUP(C7/D7,0)</f>
        <v>9</v>
      </c>
      <c r="F7" t="s" s="58">
        <v>163</v>
      </c>
    </row>
    <row r="8" ht="13.55" customHeight="1">
      <c r="A8" t="s" s="57">
        <v>164</v>
      </c>
      <c r="B8" s="41" cm="1">
        <f t="array" ref="B8">'Insumos'!$C$22</f>
        <v>1.2</v>
      </c>
      <c r="C8" s="42" cm="1">
        <f t="array" ref="C8">'Insumos'!$C$20*2*'Insumos'!$C$27</f>
        <v>32</v>
      </c>
      <c r="D8" s="42" cm="1">
        <f t="array" ref="D8">INT('Insumos'!$C$31/B8)</f>
        <v>2</v>
      </c>
      <c r="E8" s="42" cm="1">
        <f t="array" ref="E8">ROUNDUP(C8/D8,0)</f>
        <v>16</v>
      </c>
      <c r="F8" t="s" s="58">
        <v>165</v>
      </c>
    </row>
    <row r="9" ht="13.55" customHeight="1">
      <c r="A9" t="s" s="57">
        <v>166</v>
      </c>
      <c r="B9" s="41" cm="1">
        <f t="array" ref="B9">'Insumos'!$C$24-2*'Insumos'!$C$32</f>
        <v>0.812528137423857</v>
      </c>
      <c r="C9" s="42" cm="1">
        <f t="array" ref="C9">'Insumos'!$C$20*2*'Insumos'!$C$27</f>
        <v>32</v>
      </c>
      <c r="D9" s="42" cm="1">
        <f t="array" ref="D9">INT('Insumos'!$C$31/B9)</f>
        <v>3</v>
      </c>
      <c r="E9" s="42" cm="1">
        <f t="array" ref="E9">ROUNDUP(C9/D9,0)</f>
        <v>11</v>
      </c>
      <c r="F9" t="s" s="58">
        <v>167</v>
      </c>
    </row>
    <row r="10" ht="15.35" customHeight="1">
      <c r="A10" t="s" s="59">
        <v>168</v>
      </c>
      <c r="B10" s="60"/>
      <c r="C10" s="60"/>
      <c r="D10" s="61"/>
      <c r="E10" s="90" cm="1">
        <f t="array" ref="E10">E6+E7+E8+E9</f>
        <v>48</v>
      </c>
      <c r="F10" s="35"/>
    </row>
    <row r="11" ht="13.55" customHeight="1">
      <c r="A11" s="33"/>
      <c r="B11" s="33"/>
      <c r="C11" s="63"/>
      <c r="D11" s="33"/>
      <c r="E11" s="60"/>
      <c r="F11" s="33"/>
    </row>
    <row r="12" ht="13.55" customHeight="1">
      <c r="A12" t="s" s="38">
        <v>169</v>
      </c>
      <c r="B12" s="30"/>
      <c r="C12" s="42" cm="1">
        <f t="array" ref="C12">'Insumos'!$C$37</f>
        <v>23</v>
      </c>
      <c r="D12" s="35"/>
      <c r="E12" s="33"/>
      <c r="F12" s="33"/>
    </row>
    <row r="13" ht="17.9" customHeight="1">
      <c r="A13" t="s" s="38">
        <v>170</v>
      </c>
      <c r="B13" s="30"/>
      <c r="C13" s="66" cm="1">
        <f t="array" ref="C13">ROUNDUP(E10/C12,0)</f>
        <v>3</v>
      </c>
      <c r="D13" s="35"/>
      <c r="E13" s="33"/>
      <c r="F13" s="33"/>
    </row>
    <row r="14" ht="13.55" customHeight="1">
      <c r="A14" t="s" s="38">
        <v>171</v>
      </c>
      <c r="B14" s="30"/>
      <c r="C14" s="42" cm="1">
        <f t="array" ref="C14">'Cantidades'!$C$13</f>
        <v>3</v>
      </c>
      <c r="D14" s="35"/>
      <c r="E14" s="33"/>
      <c r="F14" s="33"/>
    </row>
    <row r="15" ht="17.9" customHeight="1">
      <c r="A15" t="s" s="38">
        <v>172</v>
      </c>
      <c r="B15" s="30"/>
      <c r="C15" s="91" cm="1">
        <f t="array" ref="C15">MAX(C13,C14)</f>
        <v>3</v>
      </c>
      <c r="D15" s="35"/>
      <c r="E15" s="33"/>
      <c r="F15" s="33"/>
    </row>
    <row r="16" ht="13.55" customHeight="1">
      <c r="A16" s="19"/>
      <c r="B16" s="19"/>
      <c r="C16" s="20"/>
      <c r="D16" s="19"/>
      <c r="E16" s="19"/>
      <c r="F16" s="19"/>
    </row>
    <row r="17" ht="22" customHeight="1">
      <c r="A17" t="s" s="21">
        <v>173</v>
      </c>
      <c r="B17" s="22"/>
      <c r="C17" s="22"/>
      <c r="D17" s="22"/>
      <c r="E17" s="22"/>
      <c r="F17" s="24"/>
    </row>
    <row r="18" ht="28" customHeight="1">
      <c r="A18" t="s" s="92">
        <v>174</v>
      </c>
      <c r="B18" s="18"/>
      <c r="C18" s="18"/>
      <c r="D18" s="18"/>
      <c r="E18" s="18"/>
      <c r="F18" s="18"/>
    </row>
    <row r="19" ht="18" customHeight="1">
      <c r="A19" s="33"/>
      <c r="B19" s="33"/>
      <c r="C19" s="33"/>
      <c r="D19" s="33"/>
      <c r="E19" s="33"/>
      <c r="F19" s="33"/>
    </row>
    <row r="20" ht="18" customHeight="1">
      <c r="A20" s="33"/>
      <c r="B20" s="33"/>
      <c r="C20" s="33"/>
      <c r="D20" s="33"/>
      <c r="E20" s="33"/>
      <c r="F20" s="33"/>
    </row>
    <row r="21" ht="18" customHeight="1">
      <c r="A21" s="33"/>
      <c r="B21" s="33"/>
      <c r="C21" s="33"/>
      <c r="D21" s="33"/>
      <c r="E21" s="33"/>
      <c r="F21" s="33"/>
    </row>
    <row r="22" ht="18" customHeight="1">
      <c r="A22" s="33"/>
      <c r="B22" s="33"/>
      <c r="C22" s="33"/>
      <c r="D22" s="33"/>
      <c r="E22" s="33"/>
      <c r="F22" s="33"/>
    </row>
  </sheetData>
  <mergeCells count="5">
    <mergeCell ref="A2:F2"/>
    <mergeCell ref="A1:F1"/>
    <mergeCell ref="A18:F22"/>
    <mergeCell ref="A17:F17"/>
    <mergeCell ref="A4:F4"/>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F36"/>
  <sheetViews>
    <sheetView workbookViewId="0" showGridLines="0" defaultGridColor="1"/>
  </sheetViews>
  <sheetFormatPr defaultColWidth="8.83333" defaultRowHeight="15" customHeight="1" outlineLevelRow="0" outlineLevelCol="0"/>
  <cols>
    <col min="1" max="1" width="14" style="93" customWidth="1"/>
    <col min="2" max="2" width="62" style="93" customWidth="1"/>
    <col min="3" max="3" width="12" style="93" customWidth="1"/>
    <col min="4" max="4" width="14" style="93" customWidth="1"/>
    <col min="5" max="5" width="20" style="93" customWidth="1"/>
    <col min="6" max="6" width="18" style="93" customWidth="1"/>
    <col min="7" max="16384" width="8.85156" style="93" customWidth="1"/>
  </cols>
  <sheetData>
    <row r="1" ht="36" customHeight="1">
      <c r="A1" t="s" s="94">
        <v>176</v>
      </c>
      <c r="B1" s="8"/>
      <c r="C1" s="8"/>
      <c r="D1" s="8"/>
      <c r="E1" s="8"/>
      <c r="F1" s="9"/>
    </row>
    <row r="2" ht="13.55" customHeight="1">
      <c r="A2" t="s" s="95">
        <v>177</v>
      </c>
      <c r="B2" s="22"/>
      <c r="C2" s="22"/>
      <c r="D2" s="22"/>
      <c r="E2" s="22"/>
      <c r="F2" s="24"/>
    </row>
    <row r="3" ht="13.55" customHeight="1">
      <c r="A3" s="18"/>
      <c r="B3" s="18"/>
      <c r="C3" s="18"/>
      <c r="D3" s="96"/>
      <c r="E3" s="18"/>
      <c r="F3" s="96"/>
    </row>
    <row r="4" ht="13.55" customHeight="1">
      <c r="A4" t="s" s="38">
        <v>178</v>
      </c>
      <c r="B4" s="97" cm="1">
        <f t="array" ref="B4">TODAY()</f>
        <v>46265</v>
      </c>
      <c r="C4" t="s" s="98">
        <v>179</v>
      </c>
      <c r="D4" s="42" cm="1">
        <f t="array" ref="D4">'Insumos'!$C$8</f>
        <v>15</v>
      </c>
      <c r="E4" t="s" s="99">
        <v>180</v>
      </c>
      <c r="F4" s="100" cm="1">
        <f t="array" ref="F4">'Insumos'!$C$6</f>
        <v>1530</v>
      </c>
    </row>
    <row r="5" ht="13.55" customHeight="1">
      <c r="A5" t="s" s="101">
        <v>181</v>
      </c>
      <c r="B5" t="s" s="102">
        <v>182</v>
      </c>
      <c r="C5" s="103"/>
      <c r="D5" s="69"/>
      <c r="E5" t="s" s="99">
        <v>183</v>
      </c>
      <c r="F5" s="64" cm="1">
        <f t="array" ref="F5">'Insumos'!$C$7</f>
        <v>0</v>
      </c>
    </row>
    <row r="6" ht="13.55" customHeight="1">
      <c r="A6" s="19"/>
      <c r="B6" s="20"/>
      <c r="C6" s="20"/>
      <c r="D6" s="20"/>
      <c r="E6" s="19"/>
      <c r="F6" s="20"/>
    </row>
    <row r="7" ht="22" customHeight="1">
      <c r="A7" t="s" s="21">
        <v>184</v>
      </c>
      <c r="B7" s="22"/>
      <c r="C7" s="22"/>
      <c r="D7" s="22"/>
      <c r="E7" s="22"/>
      <c r="F7" s="24"/>
    </row>
    <row r="8" ht="13.75" customHeight="1">
      <c r="A8" t="s" s="52">
        <v>185</v>
      </c>
      <c r="B8" t="s" s="75">
        <v>186</v>
      </c>
      <c r="C8" t="s" s="75">
        <v>90</v>
      </c>
      <c r="D8" t="s" s="75">
        <v>136</v>
      </c>
      <c r="E8" t="s" s="75">
        <v>187</v>
      </c>
      <c r="F8" t="s" s="54">
        <v>139</v>
      </c>
    </row>
    <row r="9" ht="13.55" customHeight="1">
      <c r="A9" t="s" s="104">
        <v>188</v>
      </c>
      <c r="B9" s="105"/>
      <c r="C9" s="105"/>
      <c r="D9" s="105"/>
      <c r="E9" s="105"/>
      <c r="F9" s="106"/>
    </row>
    <row r="10" ht="13.55" customHeight="1">
      <c r="A10" s="107">
        <v>1</v>
      </c>
      <c r="B10" t="s" s="108">
        <v>189</v>
      </c>
      <c r="C10" s="109" cm="1">
        <f t="array" ref="C10">'Insumos'!$C$71/'Insumos'!$C$73</f>
        <v>2</v>
      </c>
      <c r="D10" t="s" s="110">
        <v>190</v>
      </c>
      <c r="E10" s="47" cm="1">
        <f t="array" ref="E10">'Insumos'!$C$72*'Insumos'!$C$6</f>
        <v>45900</v>
      </c>
      <c r="F10" s="47" cm="1">
        <f t="array" ref="F10">('Insumos'!$C$71/'Insumos'!$C$73)*'Insumos'!$C$72*'Insumos'!$C$6</f>
        <v>91800</v>
      </c>
    </row>
    <row r="11" ht="13.55" customHeight="1">
      <c r="A11" s="107">
        <v>2</v>
      </c>
      <c r="B11" t="s" s="108">
        <v>191</v>
      </c>
      <c r="C11" s="109" cm="1">
        <f t="array" ref="C11">'Insumos'!$C$71/'Insumos'!$C$73</f>
        <v>2</v>
      </c>
      <c r="D11" t="s" s="110">
        <v>190</v>
      </c>
      <c r="E11" s="47" cm="1">
        <f t="array" ref="E11">'Insumos'!$C$72*'Insumos'!$C$6</f>
        <v>45900</v>
      </c>
      <c r="F11" s="47" cm="1">
        <f t="array" ref="F11">('Insumos'!$C$71/'Insumos'!$C$73)*'Insumos'!$C$72*'Insumos'!$C$6</f>
        <v>91800</v>
      </c>
    </row>
    <row r="12" ht="13.55" customHeight="1">
      <c r="A12" s="107">
        <v>3</v>
      </c>
      <c r="B12" t="s" s="108">
        <v>192</v>
      </c>
      <c r="C12" s="109" cm="1">
        <f t="array" ref="C12">IF('Insumos'!$C$74&gt;0,1,0)</f>
        <v>1</v>
      </c>
      <c r="D12" t="s" s="110">
        <v>147</v>
      </c>
      <c r="E12" s="47" cm="1">
        <f t="array" ref="E12">'Insumos'!$C$74</f>
        <v>200000</v>
      </c>
      <c r="F12" s="47" cm="1">
        <f t="array" ref="F12">'Insumos'!$C$74</f>
        <v>200000</v>
      </c>
    </row>
    <row r="13" ht="13.55" customHeight="1">
      <c r="A13" t="s" s="111">
        <v>193</v>
      </c>
      <c r="B13" s="60"/>
      <c r="C13" s="60"/>
      <c r="D13" s="60"/>
      <c r="E13" s="61"/>
      <c r="F13" s="67" cm="1">
        <f t="array" ref="F13">F10+F11+F12</f>
        <v>383600</v>
      </c>
    </row>
    <row r="14" ht="13.55" customHeight="1">
      <c r="A14" s="19"/>
      <c r="B14" s="19"/>
      <c r="C14" s="19"/>
      <c r="D14" s="19"/>
      <c r="E14" s="19"/>
      <c r="F14" s="20"/>
    </row>
    <row r="15" ht="13.55" customHeight="1">
      <c r="A15" t="s" s="104">
        <v>194</v>
      </c>
      <c r="B15" s="105"/>
      <c r="C15" s="105"/>
      <c r="D15" s="105"/>
      <c r="E15" s="105"/>
      <c r="F15" s="106"/>
    </row>
    <row r="16" ht="13.55" customHeight="1">
      <c r="A16" s="107">
        <v>4</v>
      </c>
      <c r="B16" t="s" s="108">
        <v>195</v>
      </c>
      <c r="C16" s="109" cm="1">
        <f t="array" ref="C16">'Cantidades'!$C$13</f>
        <v>3</v>
      </c>
      <c r="D16" t="s" s="110">
        <v>196</v>
      </c>
      <c r="E16" s="47" cm="1">
        <f t="array" ref="E16">'Insumos'!$C$33</f>
        <v>28000</v>
      </c>
      <c r="F16" s="47" cm="1">
        <f t="array" ref="F16">'Cantidades'!$C$13*'Insumos'!$C$33</f>
        <v>84000</v>
      </c>
    </row>
    <row r="17" ht="13.55" customHeight="1">
      <c r="A17" s="107">
        <v>5</v>
      </c>
      <c r="B17" t="s" s="108">
        <v>197</v>
      </c>
      <c r="C17" s="109" cm="1">
        <f t="array" ref="C17">'Cantidades'!$F$21</f>
        <v>37</v>
      </c>
      <c r="D17" t="s" s="110">
        <v>143</v>
      </c>
      <c r="E17" s="47" cm="1">
        <f t="array" ref="E17">'Insumos'!$C$50</f>
        <v>22307.4</v>
      </c>
      <c r="F17" s="47" cm="1">
        <f t="array" ref="F17">'Cantidades'!$F$21*'Insumos'!$C$50</f>
        <v>825373.8</v>
      </c>
    </row>
    <row r="18" ht="13.55" customHeight="1">
      <c r="A18" s="107">
        <v>6</v>
      </c>
      <c r="B18" t="s" s="108">
        <v>198</v>
      </c>
      <c r="C18" s="109" cm="1">
        <f t="array" ref="C18">'Cantidades'!$C$31</f>
        <v>31.68</v>
      </c>
      <c r="D18" t="s" s="110">
        <v>199</v>
      </c>
      <c r="E18" s="47" cm="1">
        <f t="array" ref="E18">'Insumos'!$C$58</f>
        <v>11000</v>
      </c>
      <c r="F18" s="47" cm="1">
        <f t="array" ref="F18">'Cantidades'!$C$31*'Insumos'!$C$58</f>
        <v>348480</v>
      </c>
    </row>
    <row r="19" ht="13.55" customHeight="1">
      <c r="A19" s="107">
        <v>7</v>
      </c>
      <c r="B19" t="s" s="108">
        <v>200</v>
      </c>
      <c r="C19" s="109" cm="1">
        <f t="array" ref="C19">1</f>
        <v>1</v>
      </c>
      <c r="D19" t="s" s="110">
        <v>147</v>
      </c>
      <c r="E19" s="47" cm="1">
        <f t="array" ref="E19">'Insumos'!$C$62+'Insumos'!$C$63+'Insumos'!$C$64+'Insumos'!$C$65+'Insumos'!$C$66</f>
        <v>35000</v>
      </c>
      <c r="F19" s="47" cm="1">
        <f t="array" ref="F19">'Insumos'!$C$62+'Insumos'!$C$63+'Insumos'!$C$64+'Insumos'!$C$65+'Insumos'!$C$66</f>
        <v>35000</v>
      </c>
    </row>
    <row r="20" ht="13.55" customHeight="1">
      <c r="A20" t="s" s="112">
        <v>201</v>
      </c>
      <c r="B20" s="113"/>
      <c r="C20" s="113"/>
      <c r="D20" s="113"/>
      <c r="E20" s="69"/>
      <c r="F20" s="67" cm="1">
        <f t="array" ref="F20">'Cantidades'!$E$45</f>
        <v>1292853.8</v>
      </c>
    </row>
    <row r="21" ht="13.55" customHeight="1">
      <c r="A21" s="107">
        <v>8</v>
      </c>
      <c r="B21" t="s" s="108">
        <v>202</v>
      </c>
      <c r="C21" s="64" cm="1">
        <f t="array" ref="C21">'Insumos'!C70+'Insumos'!C70</f>
        <v>1</v>
      </c>
      <c r="D21" t="s" s="110">
        <v>203</v>
      </c>
      <c r="E21" s="47" cm="1">
        <f t="array" ref="E21">'Insumos'!$C$70</f>
        <v>0.5</v>
      </c>
      <c r="F21" s="47" cm="1">
        <f t="array" ref="F21">'Cantidades'!$E$45*'Insumos'!$C$70</f>
        <v>646426.9</v>
      </c>
    </row>
    <row r="22" ht="13.55" customHeight="1">
      <c r="A22" s="107">
        <v>9</v>
      </c>
      <c r="B22" t="s" s="108">
        <v>204</v>
      </c>
      <c r="C22" s="109">
        <v>1</v>
      </c>
      <c r="D22" t="s" s="110">
        <v>147</v>
      </c>
      <c r="E22" s="47">
        <v>180000</v>
      </c>
      <c r="F22" s="47" cm="1">
        <f t="array" ref="F22">'Insumos'!$C$67</f>
        <v>180000</v>
      </c>
    </row>
    <row r="23" ht="13.55" customHeight="1">
      <c r="A23" t="s" s="111">
        <v>205</v>
      </c>
      <c r="B23" s="60"/>
      <c r="C23" s="60"/>
      <c r="D23" s="60"/>
      <c r="E23" s="61"/>
      <c r="F23" s="67" cm="1">
        <f t="array" ref="F23">F20+F21+F22</f>
        <v>2119280.7</v>
      </c>
    </row>
    <row r="24" ht="13.55" customHeight="1">
      <c r="A24" s="19"/>
      <c r="B24" s="19"/>
      <c r="C24" s="19"/>
      <c r="D24" s="19"/>
      <c r="E24" s="19"/>
      <c r="F24" s="20"/>
    </row>
    <row r="25" ht="22" customHeight="1">
      <c r="A25" t="s" s="21">
        <v>206</v>
      </c>
      <c r="B25" s="22"/>
      <c r="C25" s="22"/>
      <c r="D25" s="22"/>
      <c r="E25" s="22"/>
      <c r="F25" s="114"/>
    </row>
    <row r="26" ht="13.55" customHeight="1">
      <c r="A26" t="s" s="36">
        <v>207</v>
      </c>
      <c r="B26" s="18"/>
      <c r="C26" s="18"/>
      <c r="D26" s="18"/>
      <c r="E26" s="26"/>
      <c r="F26" s="115" cm="1">
        <f t="array" ref="F26">F13+F23</f>
        <v>2502880.7</v>
      </c>
    </row>
    <row r="27" ht="13.55" customHeight="1">
      <c r="A27" t="s" s="116">
        <v>183</v>
      </c>
      <c r="B27" s="19"/>
      <c r="C27" s="19"/>
      <c r="D27" s="19"/>
      <c r="E27" s="117"/>
      <c r="F27" s="47" cm="1">
        <f t="array" ref="F27">F26*'Insumos'!$C$7</f>
        <v>0</v>
      </c>
    </row>
    <row r="28" ht="19.45" customHeight="1">
      <c r="A28" t="s" s="118">
        <v>208</v>
      </c>
      <c r="B28" s="119"/>
      <c r="C28" s="119"/>
      <c r="D28" s="119"/>
      <c r="E28" s="120"/>
      <c r="F28" s="121" cm="1">
        <f t="array" ref="F28">F26+F27</f>
        <v>2502880.7</v>
      </c>
    </row>
    <row r="29" ht="15.35" customHeight="1">
      <c r="A29" t="s" s="36">
        <v>209</v>
      </c>
      <c r="B29" s="18"/>
      <c r="C29" s="18"/>
      <c r="D29" s="18"/>
      <c r="E29" s="26"/>
      <c r="F29" s="122" cm="1">
        <f t="array" ref="F29">IF('Insumos'!$C$6=0,0,F28/'Insumos'!$C$6)</f>
        <v>1635.869738562090</v>
      </c>
    </row>
    <row r="30" ht="13.55" customHeight="1">
      <c r="A30" s="33"/>
      <c r="B30" s="33"/>
      <c r="C30" s="33"/>
      <c r="D30" s="33"/>
      <c r="E30" s="33"/>
      <c r="F30" s="60"/>
    </row>
    <row r="31" ht="20" customHeight="1">
      <c r="A31" t="s" s="123">
        <v>210</v>
      </c>
      <c r="B31" s="33"/>
      <c r="C31" s="33"/>
      <c r="D31" s="33"/>
      <c r="E31" s="33"/>
      <c r="F31" s="33"/>
    </row>
    <row r="32" ht="20" customHeight="1">
      <c r="A32" s="33"/>
      <c r="B32" s="33"/>
      <c r="C32" s="33"/>
      <c r="D32" s="33"/>
      <c r="E32" s="33"/>
      <c r="F32" s="33"/>
    </row>
    <row r="33" ht="20" customHeight="1">
      <c r="A33" s="33"/>
      <c r="B33" s="33"/>
      <c r="C33" s="33"/>
      <c r="D33" s="33"/>
      <c r="E33" s="33"/>
      <c r="F33" s="33"/>
    </row>
    <row r="34" ht="13.55" customHeight="1">
      <c r="A34" s="33"/>
      <c r="B34" s="33"/>
      <c r="C34" s="33"/>
      <c r="D34" s="33"/>
      <c r="E34" s="33"/>
      <c r="F34" s="33"/>
    </row>
    <row r="35" ht="13.75" customHeight="1">
      <c r="A35" t="s" s="124">
        <v>211</v>
      </c>
      <c r="B35" s="33"/>
      <c r="C35" s="33"/>
      <c r="D35" t="s" s="124">
        <v>212</v>
      </c>
      <c r="E35" s="33"/>
      <c r="F35" s="33"/>
    </row>
    <row r="36" ht="13.55" customHeight="1">
      <c r="A36" t="s" s="79">
        <v>213</v>
      </c>
      <c r="B36" s="33"/>
      <c r="C36" s="33"/>
      <c r="D36" t="s" s="79">
        <v>213</v>
      </c>
      <c r="E36" s="33"/>
      <c r="F36" s="33"/>
    </row>
  </sheetData>
  <mergeCells count="15">
    <mergeCell ref="A2:F2"/>
    <mergeCell ref="B5:D5"/>
    <mergeCell ref="A36:C36"/>
    <mergeCell ref="A20:E20"/>
    <mergeCell ref="A31:F33"/>
    <mergeCell ref="A1:F1"/>
    <mergeCell ref="A9:F9"/>
    <mergeCell ref="D35:F35"/>
    <mergeCell ref="D36:F36"/>
    <mergeCell ref="A23:E23"/>
    <mergeCell ref="A13:E13"/>
    <mergeCell ref="A35:C35"/>
    <mergeCell ref="A15:F15"/>
    <mergeCell ref="A7:F7"/>
    <mergeCell ref="A25:F25"/>
  </mergeCells>
  <pageMargins left="0.75" right="0.75" top="1" bottom="1" header="0.5" footer="0.5"/>
  <pageSetup firstPageNumber="1" fitToHeight="1" fitToWidth="1" scale="100" useFirstPageNumber="0" orientation="portrait" pageOrder="downThenOver"/>
  <headerFooter>
    <oddHeader>&amp;L&amp;"Calibri,Regular"&amp;11&amp;K000000Presupuesto de acustización</oddHeader>
    <oddFooter>&amp;L&amp;"Calibri,Regular"&amp;11&amp;K000000Home studio PH 3,20 × 3,00&amp;R&amp;"Calibri,Regular"&amp;11&amp;K000000Pág. &amp;P</oddFooter>
  </headerFooter>
  <drawing r:id="rId1"/>
  <legacyDrawing r:id="rId2"/>
</worksheet>
</file>

<file path=xl/worksheets/sheet6.xml><?xml version="1.0" encoding="utf-8"?>
<worksheet xmlns:r="http://schemas.openxmlformats.org/officeDocument/2006/relationships" xmlns="http://schemas.openxmlformats.org/spreadsheetml/2006/main">
  <sheetPr>
    <pageSetUpPr fitToPage="1"/>
  </sheetPr>
  <dimension ref="A1:F38"/>
  <sheetViews>
    <sheetView workbookViewId="0" showGridLines="0" defaultGridColor="1"/>
  </sheetViews>
  <sheetFormatPr defaultColWidth="8.83333" defaultRowHeight="15" customHeight="1" outlineLevelRow="0" outlineLevelCol="0"/>
  <cols>
    <col min="1" max="1" width="42" style="125" customWidth="1"/>
    <col min="2" max="2" width="18" style="125" customWidth="1"/>
    <col min="3" max="3" width="16" style="125" customWidth="1"/>
    <col min="4" max="5" width="18" style="125" customWidth="1"/>
    <col min="6" max="6" width="28" style="125" customWidth="1"/>
    <col min="7" max="16384" width="8.85156" style="125" customWidth="1"/>
  </cols>
  <sheetData>
    <row r="1" ht="32" customHeight="1">
      <c r="A1" t="s" s="7">
        <v>215</v>
      </c>
      <c r="B1" s="8"/>
      <c r="C1" s="8"/>
      <c r="D1" s="8"/>
      <c r="E1" s="8"/>
      <c r="F1" s="9"/>
    </row>
    <row r="2" ht="13.75" customHeight="1">
      <c r="A2" t="s" s="50">
        <v>216</v>
      </c>
      <c r="B2" s="12"/>
      <c r="C2" s="12"/>
      <c r="D2" s="12"/>
      <c r="E2" s="12"/>
      <c r="F2" s="13"/>
    </row>
    <row r="3" ht="13.55" customHeight="1">
      <c r="A3" s="51"/>
      <c r="B3" s="51"/>
      <c r="C3" s="51"/>
      <c r="D3" s="51"/>
      <c r="E3" s="51"/>
      <c r="F3" s="51"/>
    </row>
    <row r="4" ht="22" customHeight="1">
      <c r="A4" t="s" s="21">
        <v>217</v>
      </c>
      <c r="B4" s="22"/>
      <c r="C4" s="22"/>
      <c r="D4" s="22"/>
      <c r="E4" s="22"/>
      <c r="F4" s="24"/>
    </row>
    <row r="5" ht="36" customHeight="1">
      <c r="A5" t="s" s="92">
        <v>218</v>
      </c>
      <c r="B5" s="18"/>
      <c r="C5" s="18"/>
      <c r="D5" s="18"/>
      <c r="E5" s="18"/>
      <c r="F5" s="18"/>
    </row>
    <row r="6" ht="36" customHeight="1">
      <c r="A6" s="33"/>
      <c r="B6" s="33"/>
      <c r="C6" s="33"/>
      <c r="D6" s="33"/>
      <c r="E6" s="33"/>
      <c r="F6" s="33"/>
    </row>
    <row r="7" ht="36" customHeight="1">
      <c r="A7" s="33"/>
      <c r="B7" s="33"/>
      <c r="C7" s="33"/>
      <c r="D7" s="33"/>
      <c r="E7" s="33"/>
      <c r="F7" s="33"/>
    </row>
    <row r="8" ht="36" customHeight="1">
      <c r="A8" s="33"/>
      <c r="B8" s="33"/>
      <c r="C8" s="33"/>
      <c r="D8" s="33"/>
      <c r="E8" s="33"/>
      <c r="F8" s="33"/>
    </row>
    <row r="9" ht="13.55" customHeight="1">
      <c r="A9" s="19"/>
      <c r="B9" s="19"/>
      <c r="C9" s="19"/>
      <c r="D9" s="19"/>
      <c r="E9" s="19"/>
      <c r="F9" s="19"/>
    </row>
    <row r="10" ht="13.75" customHeight="1">
      <c r="A10" t="s" s="52">
        <v>219</v>
      </c>
      <c r="B10" t="s" s="53">
        <v>220</v>
      </c>
      <c r="C10" t="s" s="53">
        <v>221</v>
      </c>
      <c r="D10" t="s" s="53">
        <v>222</v>
      </c>
      <c r="E10" t="s" s="53">
        <v>223</v>
      </c>
      <c r="F10" t="s" s="54">
        <v>224</v>
      </c>
    </row>
    <row r="11" ht="13.55" customHeight="1">
      <c r="A11" t="s" s="55">
        <v>225</v>
      </c>
      <c r="B11" s="109" cm="1">
        <f t="array" ref="B11">'Insumos'!$C$71</f>
        <v>4</v>
      </c>
      <c r="C11" s="46" cm="1">
        <f t="array" ref="C11">'Insumos'!$C$72</f>
        <v>30</v>
      </c>
      <c r="D11" s="46" cm="1">
        <f t="array" ref="D11">B11*C11</f>
        <v>120</v>
      </c>
      <c r="E11" s="47" cm="1">
        <f t="array" ref="E11">D11*'Insumos'!$C$6</f>
        <v>183600</v>
      </c>
      <c r="F11" t="s" s="126">
        <v>226</v>
      </c>
    </row>
    <row r="12" ht="13.55" customHeight="1">
      <c r="A12" t="s" s="57">
        <v>227</v>
      </c>
      <c r="B12" s="127">
        <v>4</v>
      </c>
      <c r="C12" s="46" cm="1">
        <f t="array" ref="C12">'Insumos'!$C$72</f>
        <v>30</v>
      </c>
      <c r="D12" s="46" cm="1">
        <f t="array" ref="D12">B12*C12</f>
        <v>120</v>
      </c>
      <c r="E12" s="47" cm="1">
        <f t="array" ref="E12">D12*'Insumos'!$C$6</f>
        <v>183600</v>
      </c>
      <c r="F12" t="s" s="128">
        <v>228</v>
      </c>
    </row>
    <row r="13" ht="13.55" customHeight="1">
      <c r="A13" t="s" s="57">
        <v>229</v>
      </c>
      <c r="B13" s="127">
        <v>2</v>
      </c>
      <c r="C13" s="129">
        <v>70</v>
      </c>
      <c r="D13" s="46" cm="1">
        <f t="array" ref="D13">B13*C13</f>
        <v>140</v>
      </c>
      <c r="E13" s="47" cm="1">
        <f t="array" ref="E13">D13*'Insumos'!$C$6</f>
        <v>214200</v>
      </c>
      <c r="F13" t="s" s="130">
        <v>230</v>
      </c>
    </row>
    <row r="14" ht="13.55" customHeight="1">
      <c r="A14" s="19"/>
      <c r="B14" s="20"/>
      <c r="C14" s="20"/>
      <c r="D14" s="20"/>
      <c r="E14" s="20"/>
      <c r="F14" s="51"/>
    </row>
    <row r="15" ht="22" customHeight="1">
      <c r="A15" t="s" s="21">
        <v>231</v>
      </c>
      <c r="B15" s="22"/>
      <c r="C15" s="22"/>
      <c r="D15" s="22"/>
      <c r="E15" s="22"/>
      <c r="F15" s="24"/>
    </row>
    <row r="16" ht="32" customHeight="1">
      <c r="A16" t="s" s="92">
        <v>232</v>
      </c>
      <c r="B16" s="18"/>
      <c r="C16" s="18"/>
      <c r="D16" s="18"/>
      <c r="E16" s="18"/>
      <c r="F16" s="18"/>
    </row>
    <row r="17" ht="32" customHeight="1">
      <c r="A17" s="33"/>
      <c r="B17" s="33"/>
      <c r="C17" s="33"/>
      <c r="D17" s="33"/>
      <c r="E17" s="33"/>
      <c r="F17" s="33"/>
    </row>
    <row r="18" ht="32" customHeight="1">
      <c r="A18" s="33"/>
      <c r="B18" s="33"/>
      <c r="C18" s="33"/>
      <c r="D18" s="33"/>
      <c r="E18" s="33"/>
      <c r="F18" s="33"/>
    </row>
    <row r="19" ht="32" customHeight="1">
      <c r="A19" s="33"/>
      <c r="B19" s="33"/>
      <c r="C19" s="33"/>
      <c r="D19" s="33"/>
      <c r="E19" s="33"/>
      <c r="F19" s="33"/>
    </row>
    <row r="20" ht="13.55" customHeight="1">
      <c r="A20" s="19"/>
      <c r="B20" s="19"/>
      <c r="C20" s="19"/>
      <c r="D20" s="19"/>
      <c r="E20" s="19"/>
      <c r="F20" s="19"/>
    </row>
    <row r="21" ht="13.75" customHeight="1">
      <c r="A21" t="s" s="52">
        <v>233</v>
      </c>
      <c r="B21" t="s" s="53">
        <v>234</v>
      </c>
      <c r="C21" t="s" s="53">
        <v>235</v>
      </c>
      <c r="D21" t="s" s="53">
        <v>236</v>
      </c>
      <c r="E21" t="s" s="75">
        <v>237</v>
      </c>
      <c r="F21" t="s" s="54">
        <v>224</v>
      </c>
    </row>
    <row r="22" ht="13.55" customHeight="1">
      <c r="A22" t="s" s="55">
        <v>238</v>
      </c>
      <c r="B22" s="47" cm="1">
        <f t="array" ref="B22">'Cantidades'!$E$45*0.35</f>
        <v>452498.83</v>
      </c>
      <c r="C22" s="46" cm="1">
        <f t="array" ref="C22">IF('Insumos'!$C$6=0,0,B22/'Insumos'!$C$6)</f>
        <v>295.750869281046</v>
      </c>
      <c r="D22" s="46" cm="1">
        <f t="array" ref="D22">IF('Insumos'!$C$75=0,0,C22/'Insumos'!$C$75)</f>
        <v>14.7875434640523</v>
      </c>
      <c r="E22" t="str" s="131" cm="1">
        <f t="array" ref="E22">IF(D22=0,"cargar precios","")</f>
      </c>
      <c r="F22" t="s" s="132">
        <v>239</v>
      </c>
    </row>
    <row r="23" ht="13.55" customHeight="1">
      <c r="A23" t="s" s="57">
        <v>240</v>
      </c>
      <c r="B23" s="47" cm="1">
        <f t="array" ref="B23">'Cantidades'!$E$45*0.5</f>
        <v>646426.9</v>
      </c>
      <c r="C23" s="46" cm="1">
        <f t="array" ref="C23">IF('Insumos'!$C$6=0,0,B23/'Insumos'!$C$6)</f>
        <v>422.501241830065</v>
      </c>
      <c r="D23" s="46" cm="1">
        <f t="array" ref="D23">IF('Insumos'!$C$75=0,0,C23/'Insumos'!$C$75)</f>
        <v>21.1250620915033</v>
      </c>
      <c r="E23" s="133"/>
      <c r="F23" t="s" s="134">
        <v>241</v>
      </c>
    </row>
    <row r="24" ht="13.55" customHeight="1">
      <c r="A24" t="s" s="57">
        <v>242</v>
      </c>
      <c r="B24" s="47" cm="1">
        <f t="array" ref="B24">'Cantidades'!$E$45*0.7</f>
        <v>904997.66</v>
      </c>
      <c r="C24" s="46" cm="1">
        <f t="array" ref="C24">IF('Insumos'!$C$6=0,0,B24/'Insumos'!$C$6)</f>
        <v>591.501738562092</v>
      </c>
      <c r="D24" s="46" cm="1">
        <f t="array" ref="D24">IF('Insumos'!$C$75=0,0,C24/'Insumos'!$C$75)</f>
        <v>29.5750869281046</v>
      </c>
      <c r="E24" s="133"/>
      <c r="F24" t="s" s="135">
        <v>243</v>
      </c>
    </row>
    <row r="25" ht="13.55" customHeight="1">
      <c r="A25" t="s" s="57">
        <v>244</v>
      </c>
      <c r="B25" s="136" cm="1">
        <f t="array" ref="B25">'Cantidades'!$E$45*'Insumos'!$C$70</f>
        <v>646426.9</v>
      </c>
      <c r="C25" s="137" cm="1">
        <f t="array" ref="C25">IF('Insumos'!$C$6=0,0,B25/'Insumos'!$C$6)</f>
        <v>422.501241830065</v>
      </c>
      <c r="D25" s="137" cm="1">
        <f t="array" ref="D25">IF('Insumos'!$C$75=0,0,C25/'Insumos'!$C$75)</f>
        <v>21.1250620915033</v>
      </c>
      <c r="E25" s="35"/>
      <c r="F25" t="str" s="18" cm="1">
        <f t="array" ref="F25">IF('Insumos'!$C$70&lt;0.45,"bajo",IF('Insumos'!$C$70&lt;0.65,"justo","holgado"))</f>
        <v>justo</v>
      </c>
    </row>
    <row r="26" ht="13.55" customHeight="1">
      <c r="A26" s="33"/>
      <c r="B26" s="60"/>
      <c r="C26" s="113"/>
      <c r="D26" s="60"/>
      <c r="E26" s="33"/>
      <c r="F26" s="33"/>
    </row>
    <row r="27" ht="13.75" customHeight="1">
      <c r="A27" t="s" s="79">
        <v>246</v>
      </c>
      <c r="B27" s="30"/>
      <c r="C27" s="47" cm="1">
        <f t="array" ref="C27">'Cantidades'!$E$45</f>
        <v>1292853.8</v>
      </c>
      <c r="D27" t="str" s="74" cm="1">
        <f t="array" ref="D27">IF('Insumos'!$C$58=0,"Falta gabardina: el total de materiales está incompleto.","")</f>
      </c>
      <c r="E27" s="33"/>
      <c r="F27" s="33"/>
    </row>
    <row r="28" ht="13.55" customHeight="1">
      <c r="A28" s="19"/>
      <c r="B28" s="19"/>
      <c r="C28" s="20"/>
      <c r="D28" s="19"/>
      <c r="E28" s="19"/>
      <c r="F28" s="19"/>
    </row>
    <row r="29" ht="22" customHeight="1">
      <c r="A29" t="s" s="21">
        <v>247</v>
      </c>
      <c r="B29" s="22"/>
      <c r="C29" s="22"/>
      <c r="D29" s="22"/>
      <c r="E29" s="22"/>
      <c r="F29" s="24"/>
    </row>
    <row r="30" ht="36" customHeight="1">
      <c r="A30" t="s" s="92">
        <v>248</v>
      </c>
      <c r="B30" s="18"/>
      <c r="C30" s="18"/>
      <c r="D30" s="18"/>
      <c r="E30" s="18"/>
      <c r="F30" s="18"/>
    </row>
    <row r="31" ht="36" customHeight="1">
      <c r="A31" s="33"/>
      <c r="B31" s="33"/>
      <c r="C31" s="33"/>
      <c r="D31" s="33"/>
      <c r="E31" s="33"/>
      <c r="F31" s="33"/>
    </row>
    <row r="32" ht="36" customHeight="1">
      <c r="A32" s="33"/>
      <c r="B32" s="33"/>
      <c r="C32" s="33"/>
      <c r="D32" s="33"/>
      <c r="E32" s="33"/>
      <c r="F32" s="33"/>
    </row>
    <row r="33" ht="36" customHeight="1">
      <c r="A33" s="33"/>
      <c r="B33" s="33"/>
      <c r="C33" s="33"/>
      <c r="D33" s="33"/>
      <c r="E33" s="33"/>
      <c r="F33" s="33"/>
    </row>
    <row r="34" ht="13.55" customHeight="1">
      <c r="A34" s="19"/>
      <c r="B34" s="19"/>
      <c r="C34" s="33"/>
      <c r="D34" s="33"/>
      <c r="E34" s="33"/>
      <c r="F34" s="33"/>
    </row>
    <row r="35" ht="13.75" customHeight="1">
      <c r="A35" t="s" s="138">
        <v>249</v>
      </c>
      <c r="B35" t="s" s="139">
        <v>250</v>
      </c>
      <c r="C35" s="140"/>
      <c r="D35" s="33"/>
      <c r="E35" s="33"/>
      <c r="F35" s="33"/>
    </row>
    <row r="36" ht="13.75" customHeight="1">
      <c r="A36" t="s" s="141">
        <v>251</v>
      </c>
      <c r="B36" t="s" s="142">
        <v>252</v>
      </c>
      <c r="C36" s="33"/>
      <c r="D36" s="33"/>
      <c r="E36" s="33"/>
      <c r="F36" s="33"/>
    </row>
    <row r="37" ht="13.75" customHeight="1">
      <c r="A37" t="s" s="143">
        <v>253</v>
      </c>
      <c r="B37" t="s" s="144">
        <v>254</v>
      </c>
      <c r="C37" s="33"/>
      <c r="D37" s="33"/>
      <c r="E37" s="33"/>
      <c r="F37" s="33"/>
    </row>
    <row r="38" ht="13.75" customHeight="1">
      <c r="A38" t="s" s="143">
        <v>255</v>
      </c>
      <c r="B38" t="s" s="144">
        <v>256</v>
      </c>
      <c r="C38" s="33"/>
      <c r="D38" s="33"/>
      <c r="E38" s="33"/>
      <c r="F38" s="33"/>
    </row>
  </sheetData>
  <mergeCells count="13">
    <mergeCell ref="A2:F2"/>
    <mergeCell ref="A30:F33"/>
    <mergeCell ref="A5:F8"/>
    <mergeCell ref="D27:F27"/>
    <mergeCell ref="B38:F38"/>
    <mergeCell ref="A16:F19"/>
    <mergeCell ref="A1:F1"/>
    <mergeCell ref="A29:F29"/>
    <mergeCell ref="B37:F37"/>
    <mergeCell ref="A4:F4"/>
    <mergeCell ref="B36:F36"/>
    <mergeCell ref="A15:F15"/>
    <mergeCell ref="B35:F35"/>
  </mergeCell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