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6666"/>
      <sz val="9"/>
    </font>
    <font>
      <b val="1"/>
      <sz val="12"/>
    </font>
    <font>
      <color rgb="0033415C"/>
      <sz val="9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B5086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bottom style="thin">
        <color rgb="00B8C4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right"/>
    </xf>
    <xf numFmtId="4" fontId="5" fillId="4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ACUSTIZACION HOME STUDIO - PRESUPUESTO OPCION B (recomendada)</t>
        </is>
      </c>
    </row>
    <row r="2">
      <c r="A2" s="2" t="inlineStr">
        <is>
          <t>Cliente:</t>
        </is>
      </c>
      <c r="B2" t="inlineStr">
        <is>
          <t>Habitacion PH 3,20 x 3,00 m - techos altos</t>
        </is>
      </c>
    </row>
    <row r="3">
      <c r="A3" s="2" t="inlineStr">
        <is>
          <t>Moneda:</t>
        </is>
      </c>
      <c r="B3" t="inlineStr">
        <is>
          <t>USD (precios referenciales - ajustar con cotizacion local)</t>
        </is>
      </c>
    </row>
    <row r="4">
      <c r="A4" s="2" t="inlineStr">
        <is>
          <t>Fecha:</t>
        </is>
      </c>
      <c r="B4" t="inlineStr">
        <is>
          <t>27/08/2026</t>
        </is>
      </c>
    </row>
    <row r="6">
      <c r="A6" s="3" t="inlineStr">
        <is>
          <t>Concepto</t>
        </is>
      </c>
      <c r="B6" s="3" t="inlineStr">
        <is>
          <t>Unidad</t>
        </is>
      </c>
      <c r="C6" s="3" t="inlineStr">
        <is>
          <t>Cantidad</t>
        </is>
      </c>
      <c r="D6" s="3" t="inlineStr">
        <is>
          <t>Precio Unitario (USD)</t>
        </is>
      </c>
      <c r="E6" s="3" t="inlineStr">
        <is>
          <t>Subtotal (USD)</t>
        </is>
      </c>
      <c r="F6" s="3" t="inlineStr">
        <is>
          <t>Nota</t>
        </is>
      </c>
    </row>
    <row r="7">
      <c r="A7" s="4" t="inlineStr">
        <is>
          <t>Trampas de esquina 100 mm (1200x600) armadas y tapizadas</t>
        </is>
      </c>
      <c r="B7" s="5" t="inlineStr">
        <is>
          <t>trampa</t>
        </is>
      </c>
      <c r="C7" s="5" t="n">
        <v>8</v>
      </c>
      <c r="D7" s="6" t="n">
        <v>24.5</v>
      </c>
      <c r="E7" s="6">
        <f>C7*D7</f>
        <v/>
      </c>
      <c r="F7" s="7" t="inlineStr">
        <is>
          <t>lana densa 80-100 kg/m3, 4 esquinas x 2</t>
        </is>
      </c>
    </row>
    <row r="8">
      <c r="A8" s="4" t="inlineStr">
        <is>
          <t>Paneles banda ancha 50 mm (1200x600) con camara de aire</t>
        </is>
      </c>
      <c r="B8" s="5" t="inlineStr">
        <is>
          <t>panel</t>
        </is>
      </c>
      <c r="C8" s="5" t="n">
        <v>12</v>
      </c>
      <c r="D8" s="6" t="n">
        <v>18</v>
      </c>
      <c r="E8" s="6">
        <f>C8*D8</f>
        <v/>
      </c>
      <c r="F8" s="7" t="inlineStr">
        <is>
          <t>reflexiones laterales, trasera, techo, detras de monitores</t>
        </is>
      </c>
    </row>
    <row r="9">
      <c r="A9" s="4" t="inlineStr">
        <is>
          <t>Mano de obra armado en taller (~0,75 h/panel)</t>
        </is>
      </c>
      <c r="B9" s="5" t="inlineStr">
        <is>
          <t>panel</t>
        </is>
      </c>
      <c r="C9" s="5" t="n">
        <v>20</v>
      </c>
      <c r="D9" s="6" t="n">
        <v>9</v>
      </c>
      <c r="E9" s="6">
        <f>C9*D9</f>
        <v/>
      </c>
      <c r="F9" s="7" t="inlineStr">
        <is>
          <t>total 20 paneles</t>
        </is>
      </c>
    </row>
    <row r="10">
      <c r="A10" s="4" t="inlineStr">
        <is>
          <t>Instalacion en obra (colgado pared + techo)</t>
        </is>
      </c>
      <c r="B10" s="5" t="inlineStr">
        <is>
          <t>global</t>
        </is>
      </c>
      <c r="C10" s="5" t="n">
        <v>1</v>
      </c>
      <c r="D10" s="6" t="n">
        <v>150</v>
      </c>
      <c r="E10" s="6">
        <f>C10*D10</f>
        <v/>
      </c>
      <c r="F10" s="7" t="inlineStr">
        <is>
          <t>2 visitas</t>
        </is>
      </c>
    </row>
    <row r="11">
      <c r="A11" s="4" t="inlineStr">
        <is>
          <t>Medicion acustica (2 sesiones + informe REW)</t>
        </is>
      </c>
      <c r="B11" s="5" t="inlineStr">
        <is>
          <t>sesion</t>
        </is>
      </c>
      <c r="C11" s="5" t="n">
        <v>2</v>
      </c>
      <c r="D11" s="6" t="n">
        <v>45</v>
      </c>
      <c r="E11" s="6">
        <f>C11*D11</f>
        <v/>
      </c>
      <c r="F11" s="7" t="inlineStr">
        <is>
          <t>preliminar y post colocacion</t>
        </is>
      </c>
    </row>
    <row r="12">
      <c r="A12" s="4" t="inlineStr">
        <is>
          <t>Modelado 3D SketchUp (render de referencia)</t>
        </is>
      </c>
      <c r="B12" s="5" t="inlineStr">
        <is>
          <t>global</t>
        </is>
      </c>
      <c r="C12" s="5" t="n">
        <v>1</v>
      </c>
      <c r="D12" s="6" t="n">
        <v>120</v>
      </c>
      <c r="E12" s="6">
        <f>C12*D12</f>
        <v/>
      </c>
      <c r="F12" s="7" t="inlineStr">
        <is>
          <t>-</t>
        </is>
      </c>
    </row>
    <row r="14">
      <c r="D14" s="8" t="inlineStr">
        <is>
          <t>TOTAL (USD)</t>
        </is>
      </c>
      <c r="E14" s="9">
        <f>SUM(E7:E12)</f>
        <v/>
      </c>
      <c r="F14" s="10" t="inlineStr">
        <is>
          <t>Editar precios unitarios y el total se recalcula solo</t>
        </is>
      </c>
    </row>
    <row r="16">
      <c r="A16" s="11" t="inlineStr">
        <is>
          <t>NOTA: Opcion B = 20 paneles aprox 14,4 m2 (aprox 33% de la superficie). Si la medicion preliminar detecta una frecuencia puntual muy molesta, sumar resonador Helmholtz (+80-120 USD).</t>
        </is>
      </c>
    </row>
    <row r="17"/>
  </sheetData>
  <mergeCells count="2">
    <mergeCell ref="A16:F1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2026-08-27T17:27:02Z</dcterms:created>
  <dcterms:modified xmlns:dcterms="http://purl.org/dc/terms/" xmlns:xsi="http://www.w3.org/2001/XMLSchema-instance" xsi:type="dcterms:W3CDTF">2026-08-27T17:27:02Z</dcterms:modified>
</cp:coreProperties>
</file>